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queryTables/queryTable1.xml" ContentType="application/vnd.openxmlformats-officedocument.spreadsheetml.queryTable+xml"/>
  <Override PartName="/xl/comments2.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5.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ad93607\OneDrive - TAI Software\WV - SNS\"/>
    </mc:Choice>
  </mc:AlternateContent>
  <bookViews>
    <workbookView xWindow="240" yWindow="0" windowWidth="15060" windowHeight="7500" tabRatio="887" firstSheet="1" activeTab="1"/>
  </bookViews>
  <sheets>
    <sheet name="About" sheetId="24" r:id="rId1"/>
    <sheet name="Title Page" sheetId="21" r:id="rId2"/>
    <sheet name="GADCR" sheetId="3" r:id="rId3"/>
    <sheet name="Flows" sheetId="4" state="hidden" r:id="rId4"/>
    <sheet name="EPICS" sheetId="5" r:id="rId5"/>
    <sheet name="Action Items" sheetId="6" r:id="rId6"/>
    <sheet name="Change Log" sheetId="8" r:id="rId7"/>
    <sheet name="IS_Instructions" sheetId="10" state="hidden" r:id="rId8"/>
    <sheet name="IS_Requirements Mapping" sheetId="11" r:id="rId9"/>
    <sheet name="IS_Impacted_Systems_List" sheetId="12" r:id="rId10"/>
    <sheet name="BRD Convert" sheetId="23" r:id="rId11"/>
    <sheet name="OBA" sheetId="15" r:id="rId12"/>
    <sheet name="Reporting Questions" sheetId="33" r:id="rId13"/>
    <sheet name="Drop Down Lists" sheetId="9" state="hidden" r:id="rId14"/>
  </sheets>
  <functionGroups builtInGroupCount="18"/>
  <externalReferences>
    <externalReference r:id="rId15"/>
  </externalReferences>
  <definedNames>
    <definedName name="_xlnm._FilterDatabase" localSheetId="5" hidden="1">'Action Items'!$A$1:$G$1</definedName>
    <definedName name="_xlnm._FilterDatabase" localSheetId="6" hidden="1">'Change Log'!$A$1:$O$1</definedName>
    <definedName name="_xlnm._FilterDatabase" localSheetId="4" hidden="1">EPICS!$A$3:$L$3</definedName>
    <definedName name="_xlnm._FilterDatabase" localSheetId="9" hidden="1">IS_Impacted_Systems_List!$A$1:$E$478</definedName>
    <definedName name="_xlnm._FilterDatabase" localSheetId="8" hidden="1">'IS_Requirements Mapping'!$A$3:$F$3</definedName>
    <definedName name="_xlnm._FilterDatabase" localSheetId="11" hidden="1">OBA!$F$1:$IR$87</definedName>
    <definedName name="Comp1">OFFSET('Drop Down Lists'!$F$1,1,0,COUNTA('Drop Down Lists'!$F:$F)-1,1)</definedName>
    <definedName name="Comp2">OFFSET('Drop Down Lists'!$G$1,1,0,COUNTA('Drop Down Lists'!$G:$G)-1,1)</definedName>
    <definedName name="Comp3">'[1]Component &amp; Complexity'!$A$2:$A$20</definedName>
    <definedName name="Comp6">'[1]Component &amp; Complexity'!$B$2:$B$7</definedName>
    <definedName name="Critical_Guidelines_to_Follow_Title">About!$B$17</definedName>
    <definedName name="DetailRQType">OFFSET('Drop Down Lists'!$C$1,1,0,COUNTA('Drop Down Lists'!$C:$C)-1,1)</definedName>
    <definedName name="issueType">OFFSET('Drop Down Lists'!$B$1,1,0,COUNTA('Drop Down Lists'!$B:$B)-1,1)</definedName>
    <definedName name="JIRA_Formatting_Help">About!$B$22</definedName>
    <definedName name="Known_Issues_Title">About!$B$29</definedName>
    <definedName name="OBA">OFFSET(OBA!$E$2,0,0,COUNTA(OBA!$E:$E),1)</definedName>
    <definedName name="OBA_Domains">OFFSET(OBA!$E$2,0,0,COUNTIF(OBA!$I:$I, "OBA Domain Level 0"),1)</definedName>
    <definedName name="PlannedFor">OFFSET('Drop Down Lists'!$H$1,1,0,COUNTA('Drop Down Lists'!$H:$H)-1,1)</definedName>
    <definedName name="Regulatory">OFFSET('Drop Down Lists'!$A$1,1,0,COUNTA('Drop Down Lists'!$A:$A)-1,1)</definedName>
    <definedName name="Release_Notes_Title">About!$B$32</definedName>
    <definedName name="subdiv">OFFSET('Drop Down Lists'!$I$1,1,0,COUNTA('Drop Down Lists'!$I:$I)-1,1)</definedName>
    <definedName name="Systems">OFFSET(IS_Impacted_Systems_List!$A$2,0,0,COUNTA(IS_Impacted_Systems_List!$A:$A)-1,1)</definedName>
    <definedName name="terms" localSheetId="1">'Title Page'!$A$33:$C$42</definedName>
    <definedName name="Z_0FDF722F_6BE5_40CC_8643_96FA7475187B_.wvu.FilterData" localSheetId="4" hidden="1">EPICS!#REF!</definedName>
  </definedNames>
  <calcPr calcId="152511"/>
  <customWorkbookViews>
    <customWorkbookView name="ab24107 - Personal View" guid="{0FDF722F-6BE5-40CC-8643-96FA7475187B}" mergeInterval="0" personalView="1" maximized="1" xWindow="1" yWindow="1" windowWidth="1676" windowHeight="803" tabRatio="964" activeSheetId="3"/>
  </customWorkbookViews>
</workbook>
</file>

<file path=xl/calcChain.xml><?xml version="1.0" encoding="utf-8"?>
<calcChain xmlns="http://schemas.openxmlformats.org/spreadsheetml/2006/main">
  <c r="B24" i="21" l="1"/>
  <c r="B22" i="21"/>
  <c r="C10" i="21" l="1"/>
  <c r="C30" i="21" l="1"/>
  <c r="C29" i="21" l="1"/>
  <c r="B25" i="21" l="1"/>
  <c r="C31" i="21" l="1"/>
  <c r="C28" i="21"/>
  <c r="B17" i="21" l="1"/>
  <c r="B18" i="21"/>
  <c r="B19" i="21"/>
  <c r="B20" i="21"/>
  <c r="B23" i="21"/>
  <c r="B16" i="21" l="1"/>
  <c r="D87" i="15"/>
  <c r="J87" i="15" s="1"/>
  <c r="B87" i="15"/>
  <c r="D86" i="15"/>
  <c r="J86" i="15" s="1"/>
  <c r="B86" i="15"/>
  <c r="E86" i="15" s="1"/>
  <c r="J85" i="15"/>
  <c r="D85" i="15"/>
  <c r="B85" i="15"/>
  <c r="D84" i="15"/>
  <c r="J84" i="15" s="1"/>
  <c r="B84" i="15"/>
  <c r="C83" i="15"/>
  <c r="B83" i="15"/>
  <c r="E83" i="15" s="1"/>
  <c r="D27" i="15"/>
  <c r="C27" i="15"/>
  <c r="B27" i="15"/>
  <c r="E27" i="15" s="1"/>
  <c r="D26" i="15"/>
  <c r="C26" i="15"/>
  <c r="B26" i="15"/>
  <c r="E26" i="15" s="1"/>
  <c r="D25" i="15"/>
  <c r="J25" i="15" s="1"/>
  <c r="C25" i="15"/>
  <c r="B25" i="15"/>
  <c r="E25" i="15" s="1"/>
  <c r="D24" i="15"/>
  <c r="J24" i="15" s="1"/>
  <c r="B24" i="15"/>
  <c r="D23" i="15"/>
  <c r="J23" i="15" s="1"/>
  <c r="B23" i="15"/>
  <c r="E23" i="15" s="1"/>
  <c r="C22" i="15"/>
  <c r="B22" i="15"/>
  <c r="E22" i="15" s="1"/>
  <c r="D6" i="15"/>
  <c r="J6" i="15" s="1"/>
  <c r="B6" i="15"/>
  <c r="E6" i="15" s="1"/>
  <c r="D5" i="15"/>
  <c r="J5" i="15" s="1"/>
  <c r="B5" i="15"/>
  <c r="D4" i="15"/>
  <c r="J4" i="15" s="1"/>
  <c r="B4" i="15"/>
  <c r="E4" i="15" s="1"/>
  <c r="D3" i="15"/>
  <c r="J3" i="15" s="1"/>
  <c r="B3" i="15"/>
  <c r="C2" i="15"/>
  <c r="B2" i="15"/>
  <c r="E2" i="15" s="1"/>
  <c r="D12" i="15"/>
  <c r="B12" i="15"/>
  <c r="D11" i="15"/>
  <c r="B11" i="15"/>
  <c r="D10" i="15"/>
  <c r="J10" i="15" s="1"/>
  <c r="B10" i="15"/>
  <c r="D9" i="15"/>
  <c r="B9" i="15"/>
  <c r="D8" i="15"/>
  <c r="B8" i="15"/>
  <c r="C7" i="15"/>
  <c r="B7" i="15"/>
  <c r="E7" i="15" s="1"/>
  <c r="D16" i="15"/>
  <c r="J16" i="15" s="1"/>
  <c r="B16" i="15"/>
  <c r="E16" i="15" s="1"/>
  <c r="E15" i="15"/>
  <c r="D15" i="15"/>
  <c r="J15" i="15" s="1"/>
  <c r="B15" i="15"/>
  <c r="D14" i="15"/>
  <c r="J14" i="15" s="1"/>
  <c r="B14" i="15"/>
  <c r="C13" i="15"/>
  <c r="B13" i="15"/>
  <c r="D13" i="15" s="1"/>
  <c r="J13" i="15" s="1"/>
  <c r="J40" i="15"/>
  <c r="D40" i="15"/>
  <c r="C40" i="15"/>
  <c r="B40" i="15"/>
  <c r="E40" i="15" s="1"/>
  <c r="D39" i="15"/>
  <c r="J39" i="15" s="1"/>
  <c r="C39" i="15"/>
  <c r="B39" i="15"/>
  <c r="C38" i="15"/>
  <c r="B38" i="15"/>
  <c r="E38" i="15" s="1"/>
  <c r="J21" i="15"/>
  <c r="D21" i="15"/>
  <c r="B21" i="15"/>
  <c r="E21" i="15" s="1"/>
  <c r="J20" i="15"/>
  <c r="D20" i="15"/>
  <c r="B20" i="15"/>
  <c r="D19" i="15"/>
  <c r="J19" i="15" s="1"/>
  <c r="B19" i="15"/>
  <c r="D18" i="15"/>
  <c r="J18" i="15" s="1"/>
  <c r="B18" i="15"/>
  <c r="E18" i="15" s="1"/>
  <c r="C17" i="15"/>
  <c r="B17" i="15"/>
  <c r="D17" i="15" s="1"/>
  <c r="J17" i="15" s="1"/>
  <c r="J82" i="15"/>
  <c r="D82" i="15"/>
  <c r="B82" i="15"/>
  <c r="D81" i="15"/>
  <c r="J81" i="15" s="1"/>
  <c r="B81" i="15"/>
  <c r="J80" i="15"/>
  <c r="D80" i="15"/>
  <c r="B80" i="15"/>
  <c r="E80" i="15" s="1"/>
  <c r="D79" i="15"/>
  <c r="J79" i="15" s="1"/>
  <c r="B79" i="15"/>
  <c r="C78" i="15"/>
  <c r="B78" i="15"/>
  <c r="D61" i="15"/>
  <c r="J61" i="15" s="1"/>
  <c r="B61" i="15"/>
  <c r="D60" i="15"/>
  <c r="J60" i="15" s="1"/>
  <c r="B60" i="15"/>
  <c r="D59" i="15"/>
  <c r="J59" i="15" s="1"/>
  <c r="B59" i="15"/>
  <c r="D58" i="15"/>
  <c r="J58" i="15" s="1"/>
  <c r="B58" i="15"/>
  <c r="D57" i="15"/>
  <c r="J57" i="15" s="1"/>
  <c r="B57" i="15"/>
  <c r="D56" i="15"/>
  <c r="J56" i="15" s="1"/>
  <c r="B56" i="15"/>
  <c r="D55" i="15"/>
  <c r="J55" i="15" s="1"/>
  <c r="B55" i="15"/>
  <c r="D54" i="15"/>
  <c r="J54" i="15" s="1"/>
  <c r="B54" i="15"/>
  <c r="E53" i="15"/>
  <c r="C53" i="15"/>
  <c r="B53" i="15"/>
  <c r="D53" i="15" s="1"/>
  <c r="D74" i="15"/>
  <c r="B74" i="15"/>
  <c r="D73" i="15"/>
  <c r="B73" i="15"/>
  <c r="D72" i="15"/>
  <c r="B72" i="15"/>
  <c r="D71" i="15"/>
  <c r="B71" i="15"/>
  <c r="D70" i="15"/>
  <c r="B70" i="15"/>
  <c r="D69" i="15"/>
  <c r="B69" i="15"/>
  <c r="D68" i="15"/>
  <c r="B68" i="15"/>
  <c r="D67" i="15"/>
  <c r="J67" i="15" s="1"/>
  <c r="B67" i="15"/>
  <c r="D66" i="15"/>
  <c r="J66" i="15" s="1"/>
  <c r="B66" i="15"/>
  <c r="E66" i="15" s="1"/>
  <c r="D65" i="15"/>
  <c r="J65" i="15" s="1"/>
  <c r="B65" i="15"/>
  <c r="D64" i="15"/>
  <c r="J64" i="15" s="1"/>
  <c r="B64" i="15"/>
  <c r="D63" i="15"/>
  <c r="J63" i="15" s="1"/>
  <c r="B63" i="15"/>
  <c r="E62" i="15"/>
  <c r="D62" i="15"/>
  <c r="J62" i="15" s="1"/>
  <c r="C62" i="15"/>
  <c r="B62" i="15"/>
  <c r="D77" i="15"/>
  <c r="E77" i="15" s="1"/>
  <c r="B77" i="15"/>
  <c r="D76" i="15"/>
  <c r="B76" i="15"/>
  <c r="C75" i="15"/>
  <c r="B75" i="15"/>
  <c r="D75" i="15" s="1"/>
  <c r="J75" i="15" s="1"/>
  <c r="D52" i="15"/>
  <c r="J52" i="15" s="1"/>
  <c r="B52" i="15"/>
  <c r="D51" i="15"/>
  <c r="J51" i="15" s="1"/>
  <c r="B51" i="15"/>
  <c r="E51" i="15" s="1"/>
  <c r="C50" i="15"/>
  <c r="B50" i="15"/>
  <c r="D45" i="15"/>
  <c r="C45" i="15"/>
  <c r="B45" i="15"/>
  <c r="D44" i="15"/>
  <c r="C44" i="15"/>
  <c r="B44" i="15"/>
  <c r="D43" i="15"/>
  <c r="C43" i="15"/>
  <c r="J43" i="15" s="1"/>
  <c r="B43" i="15"/>
  <c r="E43" i="15" s="1"/>
  <c r="D42" i="15"/>
  <c r="C42" i="15"/>
  <c r="J42" i="15" s="1"/>
  <c r="B42" i="15"/>
  <c r="E42" i="15" s="1"/>
  <c r="C41" i="15"/>
  <c r="B41" i="15"/>
  <c r="D41" i="15" s="1"/>
  <c r="J41" i="15" s="1"/>
  <c r="D37" i="15"/>
  <c r="C37" i="15"/>
  <c r="B37" i="15"/>
  <c r="E37" i="15" s="1"/>
  <c r="J36" i="15"/>
  <c r="D36" i="15"/>
  <c r="C36" i="15"/>
  <c r="B36" i="15"/>
  <c r="E36" i="15" s="1"/>
  <c r="J35" i="15"/>
  <c r="D35" i="15"/>
  <c r="C35" i="15"/>
  <c r="B35" i="15"/>
  <c r="E35" i="15" s="1"/>
  <c r="D34" i="15"/>
  <c r="C34" i="15"/>
  <c r="B34" i="15"/>
  <c r="D33" i="15"/>
  <c r="J33" i="15" s="1"/>
  <c r="C33" i="15"/>
  <c r="B33" i="15"/>
  <c r="C32" i="15"/>
  <c r="J32" i="15" s="1"/>
  <c r="B32" i="15"/>
  <c r="D32" i="15" s="1"/>
  <c r="D31" i="15"/>
  <c r="C31" i="15"/>
  <c r="J31" i="15" s="1"/>
  <c r="B31" i="15"/>
  <c r="D30" i="15"/>
  <c r="C30" i="15"/>
  <c r="B30" i="15"/>
  <c r="D29" i="15"/>
  <c r="J29" i="15" s="1"/>
  <c r="C29" i="15"/>
  <c r="B29" i="15"/>
  <c r="C28" i="15"/>
  <c r="B28" i="15"/>
  <c r="D28" i="15" s="1"/>
  <c r="D49" i="15"/>
  <c r="J49" i="15" s="1"/>
  <c r="B49" i="15"/>
  <c r="J48" i="15"/>
  <c r="D48" i="15"/>
  <c r="B48" i="15"/>
  <c r="D47" i="15"/>
  <c r="J47" i="15" s="1"/>
  <c r="B47" i="15"/>
  <c r="C46" i="15"/>
  <c r="B46" i="15"/>
  <c r="E76" i="15" l="1"/>
  <c r="E48" i="15"/>
  <c r="E33" i="15"/>
  <c r="J37" i="15"/>
  <c r="E41" i="15"/>
  <c r="J44" i="15"/>
  <c r="J76" i="15"/>
  <c r="J53" i="15"/>
  <c r="E82" i="15"/>
  <c r="E20" i="15"/>
  <c r="E3" i="15"/>
  <c r="E5" i="15"/>
  <c r="J26" i="15"/>
  <c r="E85" i="15"/>
  <c r="J28" i="15"/>
  <c r="E75" i="15"/>
  <c r="E17" i="15"/>
  <c r="E19" i="15"/>
  <c r="E14" i="15"/>
  <c r="E87" i="15"/>
  <c r="J77" i="15"/>
  <c r="D7" i="15"/>
  <c r="J7" i="15" s="1"/>
  <c r="J27" i="15"/>
  <c r="E49" i="15"/>
  <c r="E31" i="15"/>
  <c r="E55" i="15"/>
  <c r="E57" i="15"/>
  <c r="E59" i="15"/>
  <c r="E61" i="15"/>
  <c r="E79" i="15"/>
  <c r="E13" i="15"/>
  <c r="E9" i="15"/>
  <c r="E11" i="15"/>
  <c r="E24" i="15"/>
  <c r="E84" i="15"/>
  <c r="E28" i="15"/>
  <c r="D38" i="15"/>
  <c r="J38" i="15" s="1"/>
  <c r="D2" i="15"/>
  <c r="J2" i="15" s="1"/>
  <c r="E47" i="15"/>
  <c r="E52" i="15"/>
  <c r="E65" i="15"/>
  <c r="E54" i="15"/>
  <c r="E56" i="15"/>
  <c r="E58" i="15"/>
  <c r="E60" i="15"/>
  <c r="E81" i="15"/>
  <c r="E12" i="15"/>
  <c r="J45" i="15"/>
  <c r="E45" i="15"/>
  <c r="E46" i="15"/>
  <c r="D46" i="15"/>
  <c r="J46" i="15" s="1"/>
  <c r="J68" i="15"/>
  <c r="E68" i="15"/>
  <c r="E70" i="15"/>
  <c r="J70" i="15"/>
  <c r="J72" i="15"/>
  <c r="E72" i="15"/>
  <c r="E74" i="15"/>
  <c r="J74" i="15"/>
  <c r="E32" i="15"/>
  <c r="J34" i="15"/>
  <c r="E34" i="15"/>
  <c r="E64" i="15"/>
  <c r="E78" i="15"/>
  <c r="D78" i="15"/>
  <c r="J78" i="15" s="1"/>
  <c r="E63" i="15"/>
  <c r="E67" i="15"/>
  <c r="J69" i="15"/>
  <c r="E69" i="15"/>
  <c r="J71" i="15"/>
  <c r="E71" i="15"/>
  <c r="J73" i="15"/>
  <c r="E73" i="15"/>
  <c r="E8" i="15"/>
  <c r="J8" i="15"/>
  <c r="J30" i="15"/>
  <c r="E30" i="15"/>
  <c r="E29" i="15"/>
  <c r="E44" i="15"/>
  <c r="E50" i="15"/>
  <c r="D50" i="15"/>
  <c r="J50" i="15" s="1"/>
  <c r="E10" i="15"/>
  <c r="E39" i="15"/>
  <c r="J9" i="15"/>
  <c r="J11" i="15"/>
  <c r="J12" i="15"/>
  <c r="D22" i="15"/>
  <c r="J22" i="15" s="1"/>
  <c r="D83" i="15"/>
  <c r="J83" i="15" s="1"/>
</calcChain>
</file>

<file path=xl/comments1.xml><?xml version="1.0" encoding="utf-8"?>
<comments xmlns="http://schemas.openxmlformats.org/spreadsheetml/2006/main">
  <authors>
    <author>ROEVEJR</author>
  </authors>
  <commentList>
    <comment ref="B13" authorId="0" shapeId="0">
      <text>
        <r>
          <rPr>
            <b/>
            <sz val="9"/>
            <color indexed="81"/>
            <rFont val="Tahoma"/>
            <family val="2"/>
          </rPr>
          <t>Roever, Jeremy:</t>
        </r>
        <r>
          <rPr>
            <sz val="9"/>
            <color indexed="81"/>
            <rFont val="Tahoma"/>
            <family val="2"/>
          </rPr>
          <t xml:space="preserve">
Provides an overview of the workbook and provides helpful information.</t>
        </r>
      </text>
    </comment>
    <comment ref="C13" authorId="0" shapeId="0">
      <text>
        <r>
          <rPr>
            <b/>
            <sz val="9"/>
            <color indexed="81"/>
            <rFont val="Tahoma"/>
            <family val="2"/>
          </rPr>
          <t>Roever, Jeremy:</t>
        </r>
        <r>
          <rPr>
            <sz val="9"/>
            <color indexed="81"/>
            <rFont val="Tahoma"/>
            <family val="2"/>
          </rPr>
          <t xml:space="preserve">
DO NOT MODIFY THE FORMAT.
Used to capture and store critical information about the Initiative, to include:
- Required JIRA information
- Initiative information from CWI
- Document Metrics
- Acronyms/Terms/Definitions
- Links to Supporting Documentation
</t>
        </r>
        <r>
          <rPr>
            <b/>
            <sz val="9"/>
            <color indexed="81"/>
            <rFont val="Tahoma"/>
            <family val="2"/>
          </rPr>
          <t>Also provides buttons in support of JIRA Import Creation and mapping/converting requirements previously captured in a different table structure/Excel template into the structure needed for this template/tool.</t>
        </r>
      </text>
    </comment>
    <comment ref="D13" authorId="0" shapeId="0">
      <text>
        <r>
          <rPr>
            <b/>
            <sz val="9"/>
            <color indexed="81"/>
            <rFont val="Tahoma"/>
            <family val="2"/>
          </rPr>
          <t>Roever, Jeremy:</t>
        </r>
        <r>
          <rPr>
            <sz val="9"/>
            <color indexed="81"/>
            <rFont val="Tahoma"/>
            <family val="2"/>
          </rPr>
          <t xml:space="preserve">
DO NOT MODIFY THE FORMAT.
Used to capture and store Guiding Principles, Assumptions, Dependencies, Constraints, and Risks associated with the Initiative.
Multiple buttons are provided that call macros in support of adding, deleting, or changing information as it is discussed from this tab.</t>
        </r>
      </text>
    </comment>
    <comment ref="E13" authorId="0" shapeId="0">
      <text>
        <r>
          <rPr>
            <b/>
            <sz val="9"/>
            <color indexed="81"/>
            <rFont val="Tahoma"/>
            <family val="2"/>
          </rPr>
          <t>Roever, Jeremy:</t>
        </r>
        <r>
          <rPr>
            <sz val="9"/>
            <color indexed="81"/>
            <rFont val="Tahoma"/>
            <family val="2"/>
          </rPr>
          <t xml:space="preserve">
DO NOT MODIFY THE FORMAT.
This will be the main tab you will work from.  It is used to capture and store the Capabilities, EPICs, and any Stories that make up the requirements of the Initiative.  It is critical that you do not change the order/purpose of the columns and that you understand that the only columns that will be used in the JIRA Creation macro are the one's provided by the template.
You can define Sections of the requirements for organizational purposes by using the 'NewSection' Issue Type.  These rows are not loaded into JIRA.
Multiple buttons are provided that call macros in support of adding, deleting, or changing information as it is discussed from this tab.  You can also copy all of the requirements over to the "IS_Requirements Mapping" tab when you are ready for the Solution Lead to map the systems for each requirement.</t>
        </r>
      </text>
    </comment>
    <comment ref="F13" authorId="0" shapeId="0">
      <text>
        <r>
          <rPr>
            <b/>
            <sz val="9"/>
            <color indexed="81"/>
            <rFont val="Tahoma"/>
            <family val="2"/>
          </rPr>
          <t>Roever, Jeremy:</t>
        </r>
        <r>
          <rPr>
            <sz val="9"/>
            <color indexed="81"/>
            <rFont val="Tahoma"/>
            <family val="2"/>
          </rPr>
          <t xml:space="preserve">
DO NOT MODIFY THE FORMAT.
Used to capture and store any Action Items and their associated status and assignments as they are identified while utilizing this template.
Action Items can be added manually/directly via the tab or by clicking on the "Add Action Item" button available on the "GADCR" and "EPICS" tabs.</t>
        </r>
      </text>
    </comment>
    <comment ref="G13" authorId="0" shapeId="0">
      <text>
        <r>
          <rPr>
            <b/>
            <sz val="9"/>
            <color indexed="81"/>
            <rFont val="Tahoma"/>
            <family val="2"/>
          </rPr>
          <t xml:space="preserve">Roever, Jeremy:
</t>
        </r>
        <r>
          <rPr>
            <sz val="9"/>
            <color indexed="81"/>
            <rFont val="Tahoma"/>
            <family val="2"/>
          </rPr>
          <t>DO NOT MODIFY THE FORMAT.
Used to capture and store records from the 'GADCR' and 'EPICS' tabs that have been either converted or removed using the 'Remove Seleced Row' and 'Remove HLBR' buttons.
Change Log records can be added manually/directly via the tab as well, but will primarily be added via the buttons noted above.</t>
        </r>
      </text>
    </comment>
    <comment ref="H13" authorId="0" shapeId="0">
      <text>
        <r>
          <rPr>
            <b/>
            <sz val="9"/>
            <color indexed="81"/>
            <rFont val="Tahoma"/>
            <family val="2"/>
          </rPr>
          <t>Roever, Jeremy:</t>
        </r>
        <r>
          <rPr>
            <sz val="9"/>
            <color indexed="81"/>
            <rFont val="Tahoma"/>
            <family val="2"/>
          </rPr>
          <t xml:space="preserve">
DO NOT MODIFY THE FORMAT.
Used by the Solution Lead to capture and store what systems are impacted by the requirements that were copied over from the 'EPICS' tab.
There should be a unique line/row for each system impacted by the requirement.  There is a button "Repeat Requirement" that, when clicked, will copy the selected requirement to a new row so that another system can be mapped as impacted by it.
This tab is CRITICAL INFORMATION to capture in support of the creation of the JIRA Import files.</t>
        </r>
      </text>
    </comment>
    <comment ref="I13" authorId="0" shapeId="0">
      <text>
        <r>
          <rPr>
            <b/>
            <sz val="9"/>
            <color indexed="81"/>
            <rFont val="Tahoma"/>
            <family val="2"/>
          </rPr>
          <t>Roever, Jeremy:</t>
        </r>
        <r>
          <rPr>
            <sz val="9"/>
            <color indexed="81"/>
            <rFont val="Tahoma"/>
            <family val="2"/>
          </rPr>
          <t xml:space="preserve">
DO NOT MODIFY THE FORMAT.  DO NOT DELETE THE THREE CHOICES ALREADY ENTERED.
Used by the Solution Lead to document the systems impacted by the Initiative.  These systems should be noted on the Solution Context Diagram and should match what is found in the Estimation Tool and/or CWI record.
This information is used on the "IS_Requirements Mapping" worksheet and is necessary in order to be able to select and populate the "System Name" column from for each requirement.</t>
        </r>
      </text>
    </comment>
    <comment ref="J13" authorId="0" shapeId="0">
      <text>
        <r>
          <rPr>
            <b/>
            <sz val="9"/>
            <color indexed="81"/>
            <rFont val="Tahoma"/>
            <family val="2"/>
          </rPr>
          <t>Roever, Jeremy:</t>
        </r>
        <r>
          <rPr>
            <sz val="9"/>
            <color indexed="81"/>
            <rFont val="Tahoma"/>
            <family val="2"/>
          </rPr>
          <t xml:space="preserve">
DO NOT DELETE THE FIRST TWO ROWS.  YOU MUST USE THE 2nd ROW FOR THE COLUMN HEADER INFORMATION.
Can be used to copy requirements that were previously captured in a different document/table into the required "EPICS" tab format necessary to support the JIRA Creation Import macros.</t>
        </r>
      </text>
    </comment>
    <comment ref="K13" authorId="0" shapeId="0">
      <text>
        <r>
          <rPr>
            <b/>
            <sz val="9"/>
            <color indexed="81"/>
            <rFont val="Tahoma"/>
            <family val="2"/>
          </rPr>
          <t>Roever, Jeremy:</t>
        </r>
        <r>
          <rPr>
            <sz val="9"/>
            <color indexed="81"/>
            <rFont val="Tahoma"/>
            <family val="2"/>
          </rPr>
          <t xml:space="preserve">
DO NOT MODIFY.
Lists the Operational Business Area (OBA) Domains as defined by Enterprise Architecture.  Can be used for reference.
Primarily used when clicking the 'Create STD OBA BRD' button on the "EPICS" tab which creates a standard OBA based organizational requirement format.</t>
        </r>
      </text>
    </comment>
    <comment ref="L13" authorId="0" shapeId="0">
      <text>
        <r>
          <rPr>
            <b/>
            <sz val="9"/>
            <color indexed="81"/>
            <rFont val="Tahoma"/>
            <family val="2"/>
          </rPr>
          <t>Roever, Jeremy:</t>
        </r>
        <r>
          <rPr>
            <sz val="9"/>
            <color indexed="81"/>
            <rFont val="Tahoma"/>
            <family val="2"/>
          </rPr>
          <t xml:space="preserve">
Helpful information that should be used as a guide for desired information requested by the Reporting teams to be captured when documenting Epics.</t>
        </r>
      </text>
    </comment>
  </commentList>
</comments>
</file>

<file path=xl/comments2.xml><?xml version="1.0" encoding="utf-8"?>
<comments xmlns="http://schemas.openxmlformats.org/spreadsheetml/2006/main">
  <authors>
    <author>Thomas, Judy</author>
    <author>Jim Coleman</author>
    <author>ROEVEJR</author>
  </authors>
  <commentList>
    <comment ref="A1" authorId="0" shapeId="0">
      <text>
        <r>
          <rPr>
            <b/>
            <sz val="9"/>
            <color indexed="81"/>
            <rFont val="Tahoma"/>
            <family val="2"/>
          </rPr>
          <t>Roever, Jeremy:</t>
        </r>
        <r>
          <rPr>
            <sz val="9"/>
            <color indexed="81"/>
            <rFont val="Tahoma"/>
            <family val="2"/>
          </rPr>
          <t xml:space="preserve">
Found in JIRA - this is the JIRA Assigned (Key) ID of the Initiative Issue Type.
This is the autogenerated key ID for the Initiative Issue Type.</t>
        </r>
      </text>
    </comment>
    <comment ref="A2" authorId="0" shapeId="0">
      <text>
        <r>
          <rPr>
            <b/>
            <sz val="9"/>
            <color indexed="81"/>
            <rFont val="Tahoma"/>
            <family val="2"/>
          </rPr>
          <t>Roever, Jeremy:</t>
        </r>
        <r>
          <rPr>
            <sz val="9"/>
            <color indexed="81"/>
            <rFont val="Tahoma"/>
            <family val="2"/>
          </rPr>
          <t xml:space="preserve">
Found in JIRA - This is the Initiative Issue Type "Work Id No" in JIRA.
This should only be a 5-Digit number - without leading zeros.  Any other values, or an invalid APM Project ID, will display in JIRA with "NOT FOUND" following the value.</t>
        </r>
      </text>
    </comment>
    <comment ref="A3" authorId="1" shapeId="0">
      <text>
        <r>
          <rPr>
            <b/>
            <sz val="9"/>
            <color indexed="81"/>
            <rFont val="Tahoma"/>
            <family val="2"/>
          </rPr>
          <t>Roever, Jeremy:</t>
        </r>
        <r>
          <rPr>
            <sz val="9"/>
            <color indexed="81"/>
            <rFont val="Tahoma"/>
            <family val="2"/>
          </rPr>
          <t xml:space="preserve">
Found in JIRA - This is the "Initiative Work ID" defined for the Initiative Issue Type.
It is auto-generated in JIRA based on the Project Area.</t>
        </r>
      </text>
    </comment>
    <comment ref="A4" authorId="2" shapeId="0">
      <text>
        <r>
          <rPr>
            <b/>
            <sz val="9"/>
            <color indexed="81"/>
            <rFont val="Tahoma"/>
            <family val="2"/>
          </rPr>
          <t>Roever, Jeremy:</t>
        </r>
        <r>
          <rPr>
            <sz val="9"/>
            <color indexed="81"/>
            <rFont val="Tahoma"/>
            <family val="2"/>
          </rPr>
          <t xml:space="preserve">
WID ID assigned for the Initiative.  Pulled from the JIRA Initiative Issue Type's "Work ID", it is only the WID****** value.  Must include the "WID" prefix.
This field is used in creating a searchable/filterable label within JIRA for the Initiative.</t>
        </r>
      </text>
    </comment>
    <comment ref="A5" authorId="2" shapeId="0">
      <text>
        <r>
          <rPr>
            <b/>
            <sz val="9"/>
            <color indexed="81"/>
            <rFont val="Tahoma"/>
            <family val="2"/>
          </rPr>
          <t>Roever, Jeremy:</t>
        </r>
        <r>
          <rPr>
            <sz val="9"/>
            <color indexed="81"/>
            <rFont val="Tahoma"/>
            <family val="2"/>
          </rPr>
          <t xml:space="preserve">
This can be found under the "IT Contacts" tab of the CWI record.</t>
        </r>
      </text>
    </comment>
    <comment ref="A6" authorId="2" shapeId="0">
      <text>
        <r>
          <rPr>
            <b/>
            <sz val="9"/>
            <color indexed="81"/>
            <rFont val="Tahoma"/>
            <family val="2"/>
          </rPr>
          <t>Roever, Jeremy:</t>
        </r>
        <r>
          <rPr>
            <sz val="9"/>
            <color indexed="81"/>
            <rFont val="Tahoma"/>
            <family val="2"/>
          </rPr>
          <t xml:space="preserve">
US Domain ID of the IT Delivery Manager.
This will be used as the defaulted Assignee in JIRA.</t>
        </r>
      </text>
    </comment>
    <comment ref="A7" authorId="2" shapeId="0">
      <text>
        <r>
          <rPr>
            <b/>
            <sz val="9"/>
            <color indexed="81"/>
            <rFont val="Tahoma"/>
            <family val="2"/>
          </rPr>
          <t xml:space="preserve">Roever, Jeremy:
</t>
        </r>
        <r>
          <rPr>
            <sz val="9"/>
            <color indexed="81"/>
            <rFont val="Tahoma"/>
            <family val="2"/>
          </rPr>
          <t>US Domain ID of the person to be listed as the Reporter in JIRA.
Typically either the person documenting the requirements or the IT Delivery Manager.
This will be used as the defaulted Reporter in JIRA.</t>
        </r>
      </text>
    </comment>
    <comment ref="A8" authorId="2" shapeId="0">
      <text>
        <r>
          <rPr>
            <b/>
            <sz val="9"/>
            <color indexed="81"/>
            <rFont val="Tahoma"/>
            <family val="2"/>
          </rPr>
          <t>Roever, Jeremy:</t>
        </r>
        <r>
          <rPr>
            <sz val="9"/>
            <color indexed="81"/>
            <rFont val="Tahoma"/>
            <family val="2"/>
          </rPr>
          <t xml:space="preserve">
This is the "CWI Priority/Initiative" field value from the CWI record.</t>
        </r>
      </text>
    </comment>
    <comment ref="A9" authorId="2" shapeId="0">
      <text>
        <r>
          <rPr>
            <b/>
            <sz val="9"/>
            <color indexed="81"/>
            <rFont val="Tahoma"/>
            <family val="2"/>
          </rPr>
          <t xml:space="preserve">Roever, Jeremy:
</t>
        </r>
        <r>
          <rPr>
            <sz val="9"/>
            <color indexed="81"/>
            <rFont val="Tahoma"/>
            <family val="2"/>
          </rPr>
          <t>This field is ONLY used for WAVE related work.  This may not be applicable, depending upon the initiative source.  
This field is used in creating a searchable/filterable label within JIRA for the initiative.</t>
        </r>
      </text>
    </comment>
    <comment ref="A10" authorId="2" shapeId="0">
      <text>
        <r>
          <rPr>
            <b/>
            <sz val="9"/>
            <color indexed="81"/>
            <rFont val="Tahoma"/>
            <family val="2"/>
          </rPr>
          <t>Roever, Jeremy:</t>
        </r>
        <r>
          <rPr>
            <sz val="9"/>
            <color indexed="81"/>
            <rFont val="Tahoma"/>
            <family val="2"/>
          </rPr>
          <t xml:space="preserve">
This field is ONLY used for SSCR related work.  Project Initiation and Projects should NOT populate this value.
If it is populated, then it is assumed this is an SSCR BRD and the LOAD JIRA macro will create a SSCR ID mapping column for JIRA.</t>
        </r>
      </text>
    </comment>
    <comment ref="A11" authorId="2" shapeId="0">
      <text>
        <r>
          <rPr>
            <b/>
            <sz val="9"/>
            <color indexed="81"/>
            <rFont val="Tahoma"/>
            <family val="2"/>
          </rPr>
          <t>Roever, Jeremy:</t>
        </r>
        <r>
          <rPr>
            <sz val="9"/>
            <color indexed="81"/>
            <rFont val="Tahoma"/>
            <family val="2"/>
          </rPr>
          <t xml:space="preserve">
This value is captured from the CWI Work Request Name field.</t>
        </r>
      </text>
    </comment>
    <comment ref="A13" authorId="2" shapeId="0">
      <text>
        <r>
          <rPr>
            <b/>
            <sz val="9"/>
            <color indexed="81"/>
            <rFont val="Tahoma"/>
            <family val="2"/>
          </rPr>
          <t>Roever, Jeremy:</t>
        </r>
        <r>
          <rPr>
            <sz val="9"/>
            <color indexed="81"/>
            <rFont val="Tahoma"/>
            <family val="2"/>
          </rPr>
          <t xml:space="preserve">
Add all of the names of the Contributors here in one cell.</t>
        </r>
      </text>
    </comment>
    <comment ref="A27" authorId="2" shapeId="0">
      <text>
        <r>
          <rPr>
            <b/>
            <sz val="9"/>
            <color indexed="81"/>
            <rFont val="Tahoma"/>
            <family val="2"/>
          </rPr>
          <t>ROEVEJR:</t>
        </r>
        <r>
          <rPr>
            <sz val="9"/>
            <color indexed="81"/>
            <rFont val="Tahoma"/>
            <family val="2"/>
          </rPr>
          <t xml:space="preserve">
Default is to breakdown by OBA Level 0.  However, if you know what your Capabilities are, you can uniquely define them here.</t>
        </r>
      </text>
    </comment>
  </commentList>
</comments>
</file>

<file path=xl/comments3.xml><?xml version="1.0" encoding="utf-8"?>
<comments xmlns="http://schemas.openxmlformats.org/spreadsheetml/2006/main">
  <authors>
    <author>ROEVEJR</author>
    <author>Thomas, Judy</author>
  </authors>
  <commentList>
    <comment ref="A3" authorId="0" shapeId="0">
      <text>
        <r>
          <rPr>
            <b/>
            <sz val="9"/>
            <color indexed="81"/>
            <rFont val="Tahoma"/>
            <family val="2"/>
          </rPr>
          <t>Roever, Jeremy:</t>
        </r>
        <r>
          <rPr>
            <sz val="9"/>
            <color indexed="81"/>
            <rFont val="Tahoma"/>
            <family val="2"/>
          </rPr>
          <t xml:space="preserve">
- MUST BE IN ALPHABETIC AND SEQUENTIAL ORDER.
Temporary ID used in this BRD work artifact that will be concatenated with Issue Type Title in the JIRA Issue Type Title field.
To be used for traceability from JIRA to BRD.
This field will also be used to help manually link the JIRA Assigned IDs after import as needed to ensure the JIRA structure/hierarchy is intact.</t>
        </r>
      </text>
    </comment>
    <comment ref="B3" authorId="0" shapeId="0">
      <text>
        <r>
          <rPr>
            <b/>
            <sz val="9"/>
            <color indexed="81"/>
            <rFont val="Tahoma"/>
            <family val="2"/>
          </rPr>
          <t>Roever, Jeremy:</t>
        </r>
        <r>
          <rPr>
            <sz val="9"/>
            <color indexed="81"/>
            <rFont val="Tahoma"/>
            <family val="2"/>
          </rPr>
          <t xml:space="preserve">
Used to define the Issue Type of the record.
Loaded into JIRA under the Issue Type field and defines whether it's a Capability/Epic/Story.
Limited to the below value options (No value - blank and NewSection will be ignored by the JIRA Import macros and not create any associated record.
</t>
        </r>
        <r>
          <rPr>
            <b/>
            <sz val="9"/>
            <color indexed="81"/>
            <rFont val="Tahoma"/>
            <family val="2"/>
          </rPr>
          <t>Valid values are:</t>
        </r>
        <r>
          <rPr>
            <sz val="9"/>
            <color indexed="81"/>
            <rFont val="Tahoma"/>
            <family val="2"/>
          </rPr>
          <t xml:space="preserve">
1. No value - blank
2. NewSection
3. Capability
4. EPIC
5. Story</t>
        </r>
      </text>
    </comment>
    <comment ref="C3" authorId="0" shapeId="0">
      <text>
        <r>
          <rPr>
            <b/>
            <sz val="9"/>
            <color indexed="81"/>
            <rFont val="Tahoma"/>
            <family val="2"/>
          </rPr>
          <t>Roever, Jeremy:</t>
        </r>
        <r>
          <rPr>
            <sz val="9"/>
            <color indexed="81"/>
            <rFont val="Tahoma"/>
            <family val="2"/>
          </rPr>
          <t xml:space="preserve">
Title for the Issue Type to be displayed in JIRA.
Loaded into JIRA under the Summary field of the Capability/Epic/Story Issue Type.  JIRA Import macros will also prefix this value with the WID_ID and the REQID.  Cannot have line breaks or special characters.
</t>
        </r>
        <r>
          <rPr>
            <b/>
            <sz val="9"/>
            <color indexed="81"/>
            <rFont val="Tahoma"/>
            <family val="2"/>
          </rPr>
          <t>Example:</t>
        </r>
        <r>
          <rPr>
            <sz val="9"/>
            <color indexed="81"/>
            <rFont val="Tahoma"/>
            <family val="2"/>
          </rPr>
          <t xml:space="preserve">
WID_ID-REQID-Issue Type Title/Summary</t>
        </r>
      </text>
    </comment>
    <comment ref="D3" authorId="0" shapeId="0">
      <text>
        <r>
          <rPr>
            <b/>
            <sz val="9"/>
            <color indexed="81"/>
            <rFont val="Tahoma"/>
            <family val="2"/>
          </rPr>
          <t>Roever, Jeremy:</t>
        </r>
        <r>
          <rPr>
            <sz val="9"/>
            <color indexed="81"/>
            <rFont val="Tahoma"/>
            <family val="2"/>
          </rPr>
          <t xml:space="preserve">
Free form text field used to capture the description (actual business need) for the Capability/Epic/Story.
Loaded into JIRA under the Description field of the Capability/Epic/Story Issue Type.</t>
        </r>
      </text>
    </comment>
    <comment ref="E3" authorId="0" shapeId="0">
      <text>
        <r>
          <rPr>
            <b/>
            <sz val="9"/>
            <color indexed="81"/>
            <rFont val="Tahoma"/>
            <family val="2"/>
          </rPr>
          <t>Roever, Jeremy:</t>
        </r>
        <r>
          <rPr>
            <sz val="9"/>
            <color indexed="81"/>
            <rFont val="Tahoma"/>
            <family val="2"/>
          </rPr>
          <t xml:space="preserve">
Free form text field to capture any notes and addtiional information related to the Capability/Epic/Story.
Loaded into JIRA under the Description field of the Capability/Epic/Story Issue Type.</t>
        </r>
      </text>
    </comment>
    <comment ref="F3" authorId="1" shapeId="0">
      <text>
        <r>
          <rPr>
            <b/>
            <sz val="9"/>
            <color indexed="81"/>
            <rFont val="Tahoma"/>
            <family val="2"/>
          </rPr>
          <t>Roever, Jeremy:</t>
        </r>
        <r>
          <rPr>
            <sz val="9"/>
            <color indexed="81"/>
            <rFont val="Tahoma"/>
            <family val="2"/>
          </rPr>
          <t xml:space="preserve">
Person(s) who provided and/or can speak to the intent and answer any business questions for the Epic/User Story.
Loaded into JIRA under the Description field of the Capability/Epic/Story Issue Type.</t>
        </r>
      </text>
    </comment>
    <comment ref="G3" authorId="0" shapeId="0">
      <text>
        <r>
          <rPr>
            <b/>
            <sz val="9"/>
            <color indexed="81"/>
            <rFont val="Tahoma"/>
            <family val="2"/>
          </rPr>
          <t>Roever, Jeremy:</t>
        </r>
        <r>
          <rPr>
            <sz val="9"/>
            <color indexed="81"/>
            <rFont val="Tahoma"/>
            <family val="2"/>
          </rPr>
          <t xml:space="preserve">
Listings of any known system impacts.
Loaded into JIRA under the Description field of the Capability/Epic/Story Issue Type.
This is temporary and is concatenated in the JIRA description.  JIRA and Barometer IT do not align so we cannot map to the systems as defined in JIRA.</t>
        </r>
      </text>
    </comment>
    <comment ref="H3" authorId="1" shapeId="0">
      <text>
        <r>
          <rPr>
            <b/>
            <sz val="9"/>
            <color indexed="81"/>
            <rFont val="Tahoma"/>
            <family val="2"/>
          </rPr>
          <t>Roever, Jeremy:</t>
        </r>
        <r>
          <rPr>
            <sz val="9"/>
            <color indexed="81"/>
            <rFont val="Tahoma"/>
            <family val="2"/>
          </rPr>
          <t xml:space="preserve">
Free form field that can be given any values needed for sorting/filtering requirements.  Loaded into JIRA under the Label field for the Capability/Epic/Story Issue Type.
JIRA Import macro will automatically create a default label using the WID_ID.
</t>
        </r>
        <r>
          <rPr>
            <b/>
            <sz val="9"/>
            <color indexed="81"/>
            <rFont val="Tahoma"/>
            <family val="2"/>
          </rPr>
          <t>IMPORTANT NOTES:</t>
        </r>
        <r>
          <rPr>
            <sz val="9"/>
            <color indexed="81"/>
            <rFont val="Tahoma"/>
            <family val="2"/>
          </rPr>
          <t xml:space="preserve">
</t>
        </r>
        <r>
          <rPr>
            <b/>
            <sz val="9"/>
            <color indexed="81"/>
            <rFont val="Tahoma"/>
            <family val="2"/>
          </rPr>
          <t>1.</t>
        </r>
        <r>
          <rPr>
            <sz val="9"/>
            <color indexed="81"/>
            <rFont val="Tahoma"/>
            <family val="2"/>
          </rPr>
          <t xml:space="preserve"> Should </t>
        </r>
        <r>
          <rPr>
            <b/>
            <sz val="9"/>
            <color indexed="81"/>
            <rFont val="Tahoma"/>
            <family val="2"/>
          </rPr>
          <t>always prefix with the WID_ID or WAVE_ID</t>
        </r>
        <r>
          <rPr>
            <sz val="9"/>
            <color indexed="81"/>
            <rFont val="Tahoma"/>
            <family val="2"/>
          </rPr>
          <t xml:space="preserve"> for uniqueness in JIRA.  </t>
        </r>
        <r>
          <rPr>
            <b/>
            <sz val="9"/>
            <color indexed="81"/>
            <rFont val="Tahoma"/>
            <family val="2"/>
          </rPr>
          <t>(The 'Create JIRA Imports' macro will automatically do this prefix for you.)</t>
        </r>
        <r>
          <rPr>
            <sz val="9"/>
            <color indexed="81"/>
            <rFont val="Tahoma"/>
            <family val="2"/>
          </rPr>
          <t xml:space="preserve">
</t>
        </r>
        <r>
          <rPr>
            <b/>
            <sz val="9"/>
            <color indexed="81"/>
            <rFont val="Tahoma"/>
            <family val="2"/>
          </rPr>
          <t>2.</t>
        </r>
        <r>
          <rPr>
            <sz val="9"/>
            <color indexed="81"/>
            <rFont val="Tahoma"/>
            <family val="2"/>
          </rPr>
          <t xml:space="preserve"> </t>
        </r>
        <r>
          <rPr>
            <b/>
            <sz val="9"/>
            <color indexed="81"/>
            <rFont val="Tahoma"/>
            <family val="2"/>
          </rPr>
          <t>Labels are case sensitive in JIRA</t>
        </r>
        <r>
          <rPr>
            <sz val="9"/>
            <color indexed="81"/>
            <rFont val="Tahoma"/>
            <family val="2"/>
          </rPr>
          <t xml:space="preserve"> so they should be used consistently, otherwise they will be interpreted by JIRA as a new unique label.
</t>
        </r>
        <r>
          <rPr>
            <b/>
            <sz val="9"/>
            <color indexed="81"/>
            <rFont val="Tahoma"/>
            <family val="2"/>
          </rPr>
          <t>3.</t>
        </r>
        <r>
          <rPr>
            <sz val="9"/>
            <color indexed="81"/>
            <rFont val="Tahoma"/>
            <family val="2"/>
          </rPr>
          <t xml:space="preserve"> Finally, </t>
        </r>
        <r>
          <rPr>
            <b/>
            <sz val="9"/>
            <color indexed="81"/>
            <rFont val="Tahoma"/>
            <family val="2"/>
          </rPr>
          <t xml:space="preserve">a space is interpreted by JIRA as defining a new unique label </t>
        </r>
        <r>
          <rPr>
            <sz val="9"/>
            <color indexed="81"/>
            <rFont val="Tahoma"/>
            <family val="2"/>
          </rPr>
          <t>so do not use spaces except to seperate multiple labels.</t>
        </r>
      </text>
    </comment>
    <comment ref="I3" authorId="1" shapeId="0">
      <text>
        <r>
          <rPr>
            <b/>
            <sz val="9"/>
            <color indexed="81"/>
            <rFont val="Tahoma"/>
            <family val="2"/>
          </rPr>
          <t>Roever, Jeremy:</t>
        </r>
        <r>
          <rPr>
            <sz val="9"/>
            <color indexed="81"/>
            <rFont val="Tahoma"/>
            <family val="2"/>
          </rPr>
          <t xml:space="preserve">
Field used to capture the Date the requirement is needed to be implemented by.
Loaded into JIRA under the Need By Date field for the Capability/Epic/Story Issue Type.</t>
        </r>
      </text>
    </comment>
    <comment ref="J3" authorId="1" shapeId="0">
      <text>
        <r>
          <rPr>
            <b/>
            <sz val="9"/>
            <color indexed="81"/>
            <rFont val="Tahoma"/>
            <family val="2"/>
          </rPr>
          <t>Roever, Jeremy:</t>
        </r>
        <r>
          <rPr>
            <sz val="9"/>
            <color indexed="81"/>
            <rFont val="Tahoma"/>
            <family val="2"/>
          </rPr>
          <t xml:space="preserve">
Field used to capture additional custom/free-form information.  This field can be used however the user would like to capture additional information that does not easily fit/map to one of the previously offered template columns.
You can customize the name of the column however you need to.  The column name will be used to identify the information, if any, that was noted for the requirement row when loaded into JIRA.
Loaded into JIRA under the Description field of the Capability/Epic/Story Issue Type.</t>
        </r>
      </text>
    </comment>
    <comment ref="K3" authorId="1" shapeId="0">
      <text>
        <r>
          <rPr>
            <b/>
            <sz val="9"/>
            <color indexed="81"/>
            <rFont val="Tahoma"/>
            <family val="2"/>
          </rPr>
          <t>Roever, Jeremy:</t>
        </r>
        <r>
          <rPr>
            <sz val="9"/>
            <color indexed="81"/>
            <rFont val="Tahoma"/>
            <family val="2"/>
          </rPr>
          <t xml:space="preserve">
Free form field that can be used to capture the Acceptance Criteria for the Story.  Not used for Capabilities or EPICs.
Loaded into JIRA under the Acceptance Criteria field for the Capability/Epic/Story Issue Type.</t>
        </r>
      </text>
    </comment>
    <comment ref="L3" authorId="0" shapeId="0">
      <text>
        <r>
          <rPr>
            <b/>
            <sz val="9"/>
            <color indexed="81"/>
            <rFont val="Tahoma"/>
            <family val="2"/>
          </rPr>
          <t>Roever, Jeremy:</t>
        </r>
        <r>
          <rPr>
            <sz val="9"/>
            <color indexed="81"/>
            <rFont val="Tahoma"/>
            <family val="2"/>
          </rPr>
          <t xml:space="preserve">
Listings of IT identified system impacts.  This is auto-populated when the JIRA Upload macro is run.  It grabs the identified system information from the "IS_Requirements Mapping" tab that was populated by the Solution Lead.
Loaded into JIRA under the Description field of the Capability/Epic/Story Issue Type.
Anything populated in this field will  be over-written by the macros used to create the JIRA Import file</t>
        </r>
      </text>
    </comment>
  </commentList>
</comments>
</file>

<file path=xl/comments4.xml><?xml version="1.0" encoding="utf-8"?>
<comments xmlns="http://schemas.openxmlformats.org/spreadsheetml/2006/main">
  <authors>
    <author>ROEVEJR</author>
    <author>Thomas, Judy</author>
  </authors>
  <commentList>
    <comment ref="A1" authorId="0" shapeId="0">
      <text>
        <r>
          <rPr>
            <b/>
            <sz val="9"/>
            <color indexed="81"/>
            <rFont val="Tahoma"/>
            <family val="2"/>
          </rPr>
          <t>ROEVEJR:</t>
        </r>
        <r>
          <rPr>
            <sz val="9"/>
            <color indexed="81"/>
            <rFont val="Tahoma"/>
            <family val="2"/>
          </rPr>
          <t xml:space="preserve">
Temporary ID used in BRD work artifact that will be concatenated with Issue Type Title in the JIRA Issue Type Title field.  To be used for traceability from JIRA to BRD.</t>
        </r>
      </text>
    </comment>
    <comment ref="B1" authorId="0" shapeId="0">
      <text>
        <r>
          <rPr>
            <b/>
            <sz val="9"/>
            <color indexed="81"/>
            <rFont val="Tahoma"/>
            <family val="2"/>
          </rPr>
          <t>ROEVEJR:</t>
        </r>
        <r>
          <rPr>
            <sz val="9"/>
            <color indexed="81"/>
            <rFont val="Tahoma"/>
            <family val="2"/>
          </rPr>
          <t xml:space="preserve">
Valid values are:
1. No value
2. Capability
3. EPIC
4. User Story</t>
        </r>
      </text>
    </comment>
    <comment ref="C1" authorId="0" shapeId="0">
      <text>
        <r>
          <rPr>
            <b/>
            <sz val="9"/>
            <color indexed="81"/>
            <rFont val="Tahoma"/>
            <family val="2"/>
          </rPr>
          <t>ROEVEJR:</t>
        </r>
        <r>
          <rPr>
            <sz val="9"/>
            <color indexed="81"/>
            <rFont val="Tahoma"/>
            <family val="2"/>
          </rPr>
          <t xml:space="preserve">
Title for the Issue Type to be displayed in JIRA.
Example:
Capability Title
EPIC Title
User Story Title</t>
        </r>
      </text>
    </comment>
    <comment ref="F1" authorId="1" shapeId="0">
      <text>
        <r>
          <rPr>
            <b/>
            <sz val="9"/>
            <color indexed="81"/>
            <rFont val="Tahoma"/>
            <family val="2"/>
          </rPr>
          <t>Coleman, Jim:</t>
        </r>
        <r>
          <rPr>
            <sz val="9"/>
            <color indexed="81"/>
            <rFont val="Tahoma"/>
            <family val="2"/>
          </rPr>
          <t xml:space="preserve">
Person who provided the Epic/User Story. This must be the Network ID of the person.
 If more than one person, then an Import needs a column for each person.
</t>
        </r>
      </text>
    </comment>
    <comment ref="G1" authorId="0" shapeId="0">
      <text>
        <r>
          <rPr>
            <b/>
            <sz val="9"/>
            <color indexed="81"/>
            <rFont val="Tahoma"/>
            <family val="2"/>
          </rPr>
          <t>ROEVEJR:</t>
        </r>
        <r>
          <rPr>
            <sz val="9"/>
            <color indexed="81"/>
            <rFont val="Tahoma"/>
            <family val="2"/>
          </rPr>
          <t xml:space="preserve">
Listings of any known system impacts.
This is temporary and is concatenated in the JIRA description.  JIRA and Barometer IT do not align so we cannot map to the systems as defined in JIRA.</t>
        </r>
      </text>
    </comment>
    <comment ref="H1" authorId="1" shapeId="0">
      <text>
        <r>
          <rPr>
            <b/>
            <sz val="9"/>
            <color indexed="81"/>
            <rFont val="Tahoma"/>
            <family val="2"/>
          </rPr>
          <t>Thomas, Judy:</t>
        </r>
        <r>
          <rPr>
            <sz val="9"/>
            <color indexed="81"/>
            <rFont val="Tahoma"/>
            <family val="2"/>
          </rPr>
          <t xml:space="preserve">
This is a free form field that can be given any values needed for sorting requirements. Note that labels are case sensitive in JIRA so they should be used consistently.</t>
        </r>
      </text>
    </comment>
    <comment ref="L1" authorId="0" shapeId="0">
      <text>
        <r>
          <rPr>
            <b/>
            <sz val="9"/>
            <color indexed="81"/>
            <rFont val="Tahoma"/>
            <family val="2"/>
          </rPr>
          <t>ROEVEJR:</t>
        </r>
        <r>
          <rPr>
            <sz val="9"/>
            <color indexed="81"/>
            <rFont val="Tahoma"/>
            <family val="2"/>
          </rPr>
          <t xml:space="preserve">
Listings of any known system impacts.
This is temporary and is concatenated in the JIRA description.  JIRA and Barometer IT do not align so we cannot map to the systems as defined in JIRA.</t>
        </r>
      </text>
    </comment>
  </commentList>
</comments>
</file>

<file path=xl/comments5.xml><?xml version="1.0" encoding="utf-8"?>
<comments xmlns="http://schemas.openxmlformats.org/spreadsheetml/2006/main">
  <authors>
    <author>ROEVEJR</author>
  </authors>
  <commentList>
    <comment ref="A3" authorId="0" shapeId="0">
      <text>
        <r>
          <rPr>
            <b/>
            <sz val="9"/>
            <color indexed="81"/>
            <rFont val="Tahoma"/>
            <family val="2"/>
          </rPr>
          <t xml:space="preserve">Roever, Jeremy:
</t>
        </r>
        <r>
          <rPr>
            <sz val="9"/>
            <color indexed="81"/>
            <rFont val="Tahoma"/>
            <family val="2"/>
          </rPr>
          <t>- MUST BE IN ALPHABETIC AND SEQUENTIAL ORDER.</t>
        </r>
        <r>
          <rPr>
            <b/>
            <sz val="9"/>
            <color indexed="81"/>
            <rFont val="Tahoma"/>
            <family val="2"/>
          </rPr>
          <t xml:space="preserve">
- </t>
        </r>
        <r>
          <rPr>
            <sz val="9"/>
            <color indexed="81"/>
            <rFont val="Tahoma"/>
            <family val="2"/>
          </rPr>
          <t xml:space="preserve">MUST HAVE A MATCHING REQID ON THE "EPICS" WORKSHEET.
</t>
        </r>
        <r>
          <rPr>
            <b/>
            <sz val="9"/>
            <color indexed="81"/>
            <rFont val="Tahoma"/>
            <family val="2"/>
          </rPr>
          <t xml:space="preserve">
</t>
        </r>
        <r>
          <rPr>
            <sz val="9"/>
            <color indexed="81"/>
            <rFont val="Tahoma"/>
            <family val="2"/>
          </rPr>
          <t>Temporary ID used in this BRD work artifact that will be concatenated with Issue Type Title in the JIRA Issue Type Title field.
To be used for traceability from JIRA to BRD.
This field will also be used to help manually link the JIRA Assigned IDs after import as needed to ensure the JIRA structure/hierarchy is intact.</t>
        </r>
      </text>
    </comment>
    <comment ref="B3" authorId="0" shapeId="0">
      <text>
        <r>
          <rPr>
            <b/>
            <sz val="9"/>
            <color indexed="81"/>
            <rFont val="Tahoma"/>
            <family val="2"/>
          </rPr>
          <t>Roever, Jeremy:</t>
        </r>
        <r>
          <rPr>
            <sz val="9"/>
            <color indexed="81"/>
            <rFont val="Tahoma"/>
            <family val="2"/>
          </rPr>
          <t xml:space="preserve">
- MUST MATCH THE VALUE FOR THE REQID ON THE "EPICS" WORKSHEET.
Title for the Issue Type to be displayed in JIRA.
Loaded into JIRA under the Summary field of the Capability/Epic/Story Issue Type.  JIRA Import macros will also prefix this value with the WID_ID and the REQID.  Cannot have line breaks or special characters.</t>
        </r>
      </text>
    </comment>
    <comment ref="C3" authorId="0" shapeId="0">
      <text>
        <r>
          <rPr>
            <b/>
            <sz val="9"/>
            <color indexed="81"/>
            <rFont val="Tahoma"/>
            <family val="2"/>
          </rPr>
          <t>Roever, Jeremy:</t>
        </r>
        <r>
          <rPr>
            <sz val="9"/>
            <color indexed="81"/>
            <rFont val="Tahoma"/>
            <family val="2"/>
          </rPr>
          <t xml:space="preserve">
- MUST MATCH THE VALUE FOR THE REQID ON THE "EPICS" WORKSHEET.
Title for the Issue Type to be displayed in JIRA.
Loaded into JIRA under the Summary field of the Capability/Epic/Story Issue Type.  JIRA Import macros will also prefix this value with the WID_ID and the REQID.  Cannot have line breaks or special characters.</t>
        </r>
      </text>
    </comment>
    <comment ref="D3" authorId="0" shapeId="0">
      <text>
        <r>
          <rPr>
            <b/>
            <sz val="9"/>
            <color indexed="81"/>
            <rFont val="Tahoma"/>
            <family val="2"/>
          </rPr>
          <t>Roever, Jeremy:</t>
        </r>
        <r>
          <rPr>
            <sz val="9"/>
            <color indexed="81"/>
            <rFont val="Tahoma"/>
            <family val="2"/>
          </rPr>
          <t xml:space="preserve">
- MUST MATCH THE VALUE FOR THE REQID ON THE "EPICS" WORKSHEET.
Free form text field used to capture the description (actual business need) for the Capability/Epic/Story.</t>
        </r>
      </text>
    </comment>
    <comment ref="E3" authorId="0" shapeId="0">
      <text>
        <r>
          <rPr>
            <b/>
            <sz val="9"/>
            <color indexed="81"/>
            <rFont val="Tahoma"/>
            <family val="2"/>
          </rPr>
          <t>Roever, Jeremy:</t>
        </r>
        <r>
          <rPr>
            <sz val="9"/>
            <color indexed="81"/>
            <rFont val="Tahoma"/>
            <family val="2"/>
          </rPr>
          <t xml:space="preserve">
The name of the System impacted (requires a change or testing) by the requirement.
If there are no impacts, then you can either identify it with:
1. ** Not Applicable
2. ** Business Process Only - NO IT Involvement Needed
The values in the dropdown are populated from the information that you have entered on the "IS_Impacted_Systems_List" worksheet.
Each REQID/System Name MUST have its own unique record/line on this worksheet.
This information is used to populate the 'IT Identified Impacted Areas' column on the "EPICS" worksheet for the identified REQID.</t>
        </r>
      </text>
    </comment>
    <comment ref="F3" authorId="0" shapeId="0">
      <text>
        <r>
          <rPr>
            <b/>
            <sz val="9"/>
            <color indexed="81"/>
            <rFont val="Tahoma"/>
            <family val="2"/>
          </rPr>
          <t>Roever, Jeremy:</t>
        </r>
        <r>
          <rPr>
            <sz val="9"/>
            <color indexed="81"/>
            <rFont val="Tahoma"/>
            <family val="2"/>
          </rPr>
          <t xml:space="preserve">
Freeform field that can be used to summarize how the system may be impacted - what's needed at a high level.
When requirements are copied over to this worksheet from the "EPICS" worksheet using the "Load All Requirements to Mapping Worksheet" button, if any 'Business Identified Impacted Areas' are noted, it will copy that information here as well for help in research during Solutioning.</t>
        </r>
      </text>
    </comment>
  </commentList>
</comments>
</file>

<file path=xl/comments6.xml><?xml version="1.0" encoding="utf-8"?>
<comments xmlns="http://schemas.openxmlformats.org/spreadsheetml/2006/main">
  <authors>
    <author>ROEVEJR</author>
  </authors>
  <commentList>
    <comment ref="A1" authorId="0" shapeId="0">
      <text>
        <r>
          <rPr>
            <b/>
            <sz val="9"/>
            <color indexed="81"/>
            <rFont val="Tahoma"/>
            <family val="2"/>
          </rPr>
          <t>Roever, Jeremy:</t>
        </r>
        <r>
          <rPr>
            <sz val="9"/>
            <color indexed="81"/>
            <rFont val="Tahoma"/>
            <family val="2"/>
          </rPr>
          <t xml:space="preserve">
System Name of the impacted system.  Should match how it is defined in the Estimation Tool.</t>
        </r>
      </text>
    </comment>
    <comment ref="B1" authorId="0" shapeId="0">
      <text>
        <r>
          <rPr>
            <b/>
            <sz val="9"/>
            <color indexed="81"/>
            <rFont val="Tahoma"/>
            <family val="2"/>
          </rPr>
          <t>Roever, Jeremy:</t>
        </r>
        <r>
          <rPr>
            <sz val="9"/>
            <color indexed="81"/>
            <rFont val="Tahoma"/>
            <family val="2"/>
          </rPr>
          <t xml:space="preserve">
Provide the BarometerIT ID number for the system, if one exists.</t>
        </r>
      </text>
    </comment>
    <comment ref="C1" authorId="0" shapeId="0">
      <text>
        <r>
          <rPr>
            <b/>
            <sz val="9"/>
            <color indexed="81"/>
            <rFont val="Tahoma"/>
            <family val="2"/>
          </rPr>
          <t>Roever, Jeremy:</t>
        </r>
        <r>
          <rPr>
            <sz val="9"/>
            <color indexed="81"/>
            <rFont val="Tahoma"/>
            <family val="2"/>
          </rPr>
          <t xml:space="preserve">
Identify the Estimation Team member names for the impacted system.</t>
        </r>
      </text>
    </comment>
  </commentList>
</comments>
</file>

<file path=xl/comments7.xml><?xml version="1.0" encoding="utf-8"?>
<comments xmlns="http://schemas.openxmlformats.org/spreadsheetml/2006/main">
  <authors>
    <author>Jim Coleman</author>
  </authors>
  <commentList>
    <comment ref="D1" authorId="0" shapeId="0">
      <text>
        <r>
          <rPr>
            <b/>
            <sz val="9"/>
            <color indexed="81"/>
            <rFont val="Tahoma"/>
            <family val="2"/>
          </rPr>
          <t>Jim Coleman:</t>
        </r>
        <r>
          <rPr>
            <sz val="9"/>
            <color indexed="81"/>
            <rFont val="Tahoma"/>
            <family val="2"/>
          </rPr>
          <t xml:space="preserve">
Domains are listed here so they appear in JIRA correctly</t>
        </r>
      </text>
    </comment>
  </commentList>
</comments>
</file>

<file path=xl/connections.xml><?xml version="1.0" encoding="utf-8"?>
<connections xmlns="http://schemas.openxmlformats.org/spreadsheetml/2006/main">
  <connection id="1" name="terms" type="6" refreshedVersion="3" deleted="1" background="1" saveData="1">
    <textPr sourceFile="C:\Documents and Settings\ab24107\Desktop\terms.txt" tab="0" delimiter="-">
      <textFields count="2">
        <textField/>
        <textField/>
      </textFields>
    </textPr>
  </connection>
</connections>
</file>

<file path=xl/sharedStrings.xml><?xml version="1.0" encoding="utf-8"?>
<sst xmlns="http://schemas.openxmlformats.org/spreadsheetml/2006/main" count="1199" uniqueCount="781">
  <si>
    <t>Author:</t>
  </si>
  <si>
    <t>Term, Acronym, or Abbreviation</t>
  </si>
  <si>
    <t>Description</t>
  </si>
  <si>
    <t>Reference</t>
  </si>
  <si>
    <t>Document Name</t>
  </si>
  <si>
    <t>Document Location</t>
  </si>
  <si>
    <t>Date</t>
  </si>
  <si>
    <t>Guiding Principles</t>
  </si>
  <si>
    <t xml:space="preserve">2.1 Process Flow Diagram </t>
  </si>
  <si>
    <t>Visio Link</t>
  </si>
  <si>
    <t>PDF Link</t>
  </si>
  <si>
    <t>2.2 Use Case Diagram</t>
  </si>
  <si>
    <t>Functionality</t>
  </si>
  <si>
    <t>Usability</t>
  </si>
  <si>
    <t>Reliability</t>
  </si>
  <si>
    <t>Performance</t>
  </si>
  <si>
    <t>Supportability</t>
  </si>
  <si>
    <t>Security</t>
  </si>
  <si>
    <t>Training</t>
  </si>
  <si>
    <t>Business Rules</t>
  </si>
  <si>
    <t>N/A</t>
  </si>
  <si>
    <t>Federal</t>
  </si>
  <si>
    <t>State</t>
  </si>
  <si>
    <t>BCBS Assoc</t>
  </si>
  <si>
    <t>Corporate</t>
  </si>
  <si>
    <t>Compliance</t>
  </si>
  <si>
    <t>Assigned to</t>
  </si>
  <si>
    <t>Due Date</t>
  </si>
  <si>
    <t>Response</t>
  </si>
  <si>
    <t>Constraints</t>
  </si>
  <si>
    <t>Product</t>
  </si>
  <si>
    <t>PROCESS FLOW</t>
  </si>
  <si>
    <t>USE CASE</t>
  </si>
  <si>
    <t>Solution Lead Instructions:</t>
  </si>
  <si>
    <t xml:space="preserve">Identify all impacted systems. Next, you will capture and enter these into the Impacted Systems List using a helper application. </t>
  </si>
  <si>
    <t>Detailed instructions for using this workbook and the Helper Application at:</t>
  </si>
  <si>
    <t>DAD Impacted Systems Workbook Overview</t>
  </si>
  <si>
    <t xml:space="preserve">Link to App: </t>
  </si>
  <si>
    <t>Discovery Impacted Systems Helper Applications</t>
  </si>
  <si>
    <t>Note:  November, 2013 - There have been a several changes to the workbook.</t>
  </si>
  <si>
    <t>1)  New columns have been added that must be filled in.  (Capabilities, Components and Complexity)</t>
  </si>
  <si>
    <r>
      <rPr>
        <b/>
        <sz val="11"/>
        <color theme="1"/>
        <rFont val="Calibri"/>
        <family val="2"/>
        <scheme val="minor"/>
      </rPr>
      <t>Capabilities</t>
    </r>
    <r>
      <rPr>
        <sz val="11"/>
        <color theme="1"/>
        <rFont val="Calibri"/>
        <family val="2"/>
        <scheme val="minor"/>
      </rPr>
      <t xml:space="preserve"> will be filled in initially by the Requirements Manager but the solution lead will verify and amend as needed.  Multiples may be added in a single row as long as they apply th the requirement, system and component.</t>
    </r>
  </si>
  <si>
    <t>2)  The Repeat Requirement button hot-key value has changed from "CTRL+S" which is actually used by Excel to save the the new value of  "CTRL+SHIFT+Z".  This should be easy and natural as all three keys are together.</t>
  </si>
  <si>
    <t>3) Summarize the Capabilities by pressing CTRL+SHIFT+C.  You may now copy them from the Summary of Capabilities tab.</t>
  </si>
  <si>
    <t>Component Type</t>
  </si>
  <si>
    <t>Complexity</t>
  </si>
  <si>
    <t>Batch Programs</t>
  </si>
  <si>
    <t>1-Low</t>
  </si>
  <si>
    <t>BI Objects</t>
  </si>
  <si>
    <t>2-Low</t>
  </si>
  <si>
    <t>Business Logic Components</t>
  </si>
  <si>
    <t>3-Medium</t>
  </si>
  <si>
    <t>Common/Utility Services</t>
  </si>
  <si>
    <t>4-Medium</t>
  </si>
  <si>
    <t>COTS Configuration</t>
  </si>
  <si>
    <t>5-High</t>
  </si>
  <si>
    <t>Dashboards</t>
  </si>
  <si>
    <t>6-High</t>
  </si>
  <si>
    <t>Data Conversion Programs</t>
  </si>
  <si>
    <t>Data Logic Components</t>
  </si>
  <si>
    <t>Data Marts</t>
  </si>
  <si>
    <t>Data Models</t>
  </si>
  <si>
    <t>ETL programs</t>
  </si>
  <si>
    <t>Infogix Controls</t>
  </si>
  <si>
    <t>Interfaces</t>
  </si>
  <si>
    <t>Planview</t>
  </si>
  <si>
    <t>Presentation Components / Screens</t>
  </si>
  <si>
    <t>Reports</t>
  </si>
  <si>
    <t>Stored Procedures</t>
  </si>
  <si>
    <t>Tables</t>
  </si>
  <si>
    <t>Testing</t>
  </si>
  <si>
    <t>System Name</t>
  </si>
  <si>
    <t>Summary of Impacts</t>
  </si>
  <si>
    <t>BarometerIT ID</t>
  </si>
  <si>
    <t>Estimation Team</t>
  </si>
  <si>
    <t>User ID</t>
  </si>
  <si>
    <t>Closed Action Items:</t>
  </si>
  <si>
    <t>Open Action Items:</t>
  </si>
  <si>
    <t>Requirement Number</t>
  </si>
  <si>
    <r>
      <rPr>
        <b/>
        <sz val="11"/>
        <color theme="1"/>
        <rFont val="Calibri"/>
        <family val="2"/>
        <scheme val="minor"/>
      </rPr>
      <t>Components</t>
    </r>
    <r>
      <rPr>
        <sz val="11"/>
        <color theme="1"/>
        <rFont val="Calibri"/>
        <family val="2"/>
        <scheme val="minor"/>
      </rPr>
      <t xml:space="preserve"> will be selected from a pre-defined drop list by the solution lead. If a compnent is not listed but is deemed necessary, the Solution Lead may add it to the Component list in the Component &amp; Complexity TAB. It will be dynamically added to the drop list.  Each impacted component must be entered on a separate line with its impacts. This means that for each unique combination of system and component per business requirement, a row with impact is required.
NOTE: As of 7/1/14 we are not asking Solution Leads to complete Component Type and Complexity except under special circumstances where we would like to use pre-estimation
</t>
    </r>
  </si>
  <si>
    <r>
      <rPr>
        <b/>
        <sz val="11"/>
        <color theme="1"/>
        <rFont val="Calibri"/>
        <family val="2"/>
        <scheme val="minor"/>
      </rPr>
      <t xml:space="preserve">Complexity </t>
    </r>
    <r>
      <rPr>
        <sz val="11"/>
        <color theme="1"/>
        <rFont val="Calibri"/>
        <family val="2"/>
        <scheme val="minor"/>
      </rPr>
      <t xml:space="preserve">will be selected from a pre-defined drop list by the solution lead using the available options of low, medium and high. 
NOTE: As of 7/1/14 we are not asking Solution Leads to complete Component Type and Complexity except under special circumstances where we would like to use pre-estimation
</t>
    </r>
  </si>
  <si>
    <t>Closed (Y/N)</t>
  </si>
  <si>
    <t>Requirement Organization</t>
  </si>
  <si>
    <t xml:space="preserve">Planned For </t>
  </si>
  <si>
    <t>Commercial Migrations Initiative</t>
  </si>
  <si>
    <t>HIX</t>
  </si>
  <si>
    <t>Active projects</t>
  </si>
  <si>
    <t>Valid Submitting Division</t>
  </si>
  <si>
    <t>Actuarial</t>
  </si>
  <si>
    <t>Care Management</t>
  </si>
  <si>
    <t>Commercial</t>
  </si>
  <si>
    <t>Corporate Finance</t>
  </si>
  <si>
    <t>EBA</t>
  </si>
  <si>
    <t>FEP</t>
  </si>
  <si>
    <t>Government Business</t>
  </si>
  <si>
    <t>HCA</t>
  </si>
  <si>
    <t>Individual</t>
  </si>
  <si>
    <t>Mandates</t>
  </si>
  <si>
    <t>Marketing</t>
  </si>
  <si>
    <t>Medicaid</t>
  </si>
  <si>
    <t>Medicare</t>
  </si>
  <si>
    <t>Ops</t>
  </si>
  <si>
    <t>Pharmacy</t>
  </si>
  <si>
    <t>Provider Engagement &amp; Contracting (PE&amp;C)</t>
  </si>
  <si>
    <t>Specialty</t>
  </si>
  <si>
    <t>ITS_B2_Program_Releases</t>
  </si>
  <si>
    <t>Date Added</t>
  </si>
  <si>
    <t>Risks</t>
  </si>
  <si>
    <t>EPIC</t>
  </si>
  <si>
    <t>High Level Business Requirements</t>
  </si>
  <si>
    <t>User Stories:</t>
  </si>
  <si>
    <t>Epics:</t>
  </si>
  <si>
    <t>Capability</t>
  </si>
  <si>
    <t>Domain L0</t>
  </si>
  <si>
    <t>Domain Name</t>
  </si>
  <si>
    <t>FL1</t>
  </si>
  <si>
    <t>FL1 Name</t>
  </si>
  <si>
    <t>REF_ID</t>
  </si>
  <si>
    <t>NAME</t>
  </si>
  <si>
    <t>BAROMETER_NO</t>
  </si>
  <si>
    <t>CAPABILITY_TYPE</t>
  </si>
  <si>
    <t>CO-01</t>
  </si>
  <si>
    <t>Finance</t>
  </si>
  <si>
    <t>040Q000004PK</t>
  </si>
  <si>
    <t>OBA Domain Level 0</t>
  </si>
  <si>
    <t>CO-02</t>
  </si>
  <si>
    <t>Information Technology</t>
  </si>
  <si>
    <t>040Q000004RD</t>
  </si>
  <si>
    <t>CO-03</t>
  </si>
  <si>
    <t>020Q00007Q3C</t>
  </si>
  <si>
    <t>CO-04</t>
  </si>
  <si>
    <t>Human Resources</t>
  </si>
  <si>
    <t>040Q0000055K</t>
  </si>
  <si>
    <t>CO-05</t>
  </si>
  <si>
    <t>040Q00000564</t>
  </si>
  <si>
    <t>CO-06</t>
  </si>
  <si>
    <t>Shared Business Functions</t>
  </si>
  <si>
    <t>040Q0000056N</t>
  </si>
  <si>
    <t>CO1.1</t>
  </si>
  <si>
    <t>Financial Management</t>
  </si>
  <si>
    <t>040Q000004PL</t>
  </si>
  <si>
    <t>OBA Function Level 1</t>
  </si>
  <si>
    <t>CO1.2</t>
  </si>
  <si>
    <t>Procurement</t>
  </si>
  <si>
    <t>040Q000004PM</t>
  </si>
  <si>
    <t>CO2.1</t>
  </si>
  <si>
    <t>Governance and Management</t>
  </si>
  <si>
    <t>040Q000004RF</t>
  </si>
  <si>
    <t>CO2.2</t>
  </si>
  <si>
    <t>Customer Relationships</t>
  </si>
  <si>
    <t>040Q000004RG</t>
  </si>
  <si>
    <t>CO2.3</t>
  </si>
  <si>
    <t>Strategy and Direction</t>
  </si>
  <si>
    <t>040Q000004RH</t>
  </si>
  <si>
    <t>CO2.4</t>
  </si>
  <si>
    <t>Design and Realization</t>
  </si>
  <si>
    <t>040Q000004RJ</t>
  </si>
  <si>
    <t>CO2.5</t>
  </si>
  <si>
    <t>Transition</t>
  </si>
  <si>
    <t>040Q000004RK</t>
  </si>
  <si>
    <t>CO2.6</t>
  </si>
  <si>
    <t>Operations</t>
  </si>
  <si>
    <t>040Q000004RL</t>
  </si>
  <si>
    <t>CO2.7</t>
  </si>
  <si>
    <t>Resilience</t>
  </si>
  <si>
    <t>040Q000004RM</t>
  </si>
  <si>
    <t>CO2.8</t>
  </si>
  <si>
    <t>Administration</t>
  </si>
  <si>
    <t>040Q000004RN</t>
  </si>
  <si>
    <t>CO3.0</t>
  </si>
  <si>
    <t>Information Management (Level1)</t>
  </si>
  <si>
    <t>040Q00000D8H</t>
  </si>
  <si>
    <t>CO3.1</t>
  </si>
  <si>
    <t>Consumer Analytics and Reporting</t>
  </si>
  <si>
    <t>040Q00000K11</t>
  </si>
  <si>
    <t>CO3.10</t>
  </si>
  <si>
    <t>Analytics Platform Management</t>
  </si>
  <si>
    <t>040Q00000MQ4</t>
  </si>
  <si>
    <t>CO3.11</t>
  </si>
  <si>
    <t>Analytics Program Governance</t>
  </si>
  <si>
    <t>040Q00000MQ5</t>
  </si>
  <si>
    <t>CO3.2</t>
  </si>
  <si>
    <t>Client Analytics and Reporting</t>
  </si>
  <si>
    <t>040Q00000K12</t>
  </si>
  <si>
    <t>CO3.3</t>
  </si>
  <si>
    <t>Provider Analytics and Reporting</t>
  </si>
  <si>
    <t>040Q00000K13</t>
  </si>
  <si>
    <t>CO3.4</t>
  </si>
  <si>
    <t>Financial Analytics and Reporting</t>
  </si>
  <si>
    <t>040Q00000K14</t>
  </si>
  <si>
    <t>CO3.5</t>
  </si>
  <si>
    <t>Revenue Analytics and Reporting</t>
  </si>
  <si>
    <t>040Q00000K15</t>
  </si>
  <si>
    <t>CO3.6</t>
  </si>
  <si>
    <t>Underwriting Analytics</t>
  </si>
  <si>
    <t>040Q00000MQ0</t>
  </si>
  <si>
    <t>CO3.7</t>
  </si>
  <si>
    <t>Service Operations Analytics and Reporting</t>
  </si>
  <si>
    <t>040Q00000MQ1</t>
  </si>
  <si>
    <t>CO3.8</t>
  </si>
  <si>
    <t>Mandate and Regulatory Reporting</t>
  </si>
  <si>
    <t>040Q00000MQ2</t>
  </si>
  <si>
    <t>CO3.9</t>
  </si>
  <si>
    <t>Analytics Program Integrity</t>
  </si>
  <si>
    <t>040Q00000MQ3</t>
  </si>
  <si>
    <t>CO4.1</t>
  </si>
  <si>
    <t>Talent Management</t>
  </si>
  <si>
    <t>040Q0000055L</t>
  </si>
  <si>
    <t>CO4.2</t>
  </si>
  <si>
    <t>HR Administration</t>
  </si>
  <si>
    <t>040Q0000055M</t>
  </si>
  <si>
    <t>CO5.1</t>
  </si>
  <si>
    <t>Legal Services</t>
  </si>
  <si>
    <t>040Q00000565</t>
  </si>
  <si>
    <t>CO5.2</t>
  </si>
  <si>
    <t>Compliance Management</t>
  </si>
  <si>
    <t>040Q00000566</t>
  </si>
  <si>
    <t>CO5.3</t>
  </si>
  <si>
    <t>Internal Audit</t>
  </si>
  <si>
    <t>040Q00000MQ6</t>
  </si>
  <si>
    <t>Internal Audit 5.3</t>
  </si>
  <si>
    <t>040Q00000567</t>
  </si>
  <si>
    <t>CO6.1</t>
  </si>
  <si>
    <t>Content Management</t>
  </si>
  <si>
    <t>040Q0000056P</t>
  </si>
  <si>
    <t>CO6.2</t>
  </si>
  <si>
    <t>Constituent Correspondence and Services</t>
  </si>
  <si>
    <t>040Q0000056Q</t>
  </si>
  <si>
    <t>CO6.3</t>
  </si>
  <si>
    <t>Data Exchange</t>
  </si>
  <si>
    <t>040Q0000056R</t>
  </si>
  <si>
    <t>CO6.4</t>
  </si>
  <si>
    <t>Associate Services</t>
  </si>
  <si>
    <t>040Q0000056S</t>
  </si>
  <si>
    <t>PB01</t>
  </si>
  <si>
    <t>Provider and Network Management</t>
  </si>
  <si>
    <t>020Q00007Q39</t>
  </si>
  <si>
    <t>PB02</t>
  </si>
  <si>
    <t>020Q00007Q3A</t>
  </si>
  <si>
    <t>PB-03</t>
  </si>
  <si>
    <t>Pricing and Underwriting</t>
  </si>
  <si>
    <t>040Q0000005R</t>
  </si>
  <si>
    <t>PB-04</t>
  </si>
  <si>
    <t>040Q0000005S</t>
  </si>
  <si>
    <t>PB-05</t>
  </si>
  <si>
    <t>Sales</t>
  </si>
  <si>
    <t>040Q0000005T</t>
  </si>
  <si>
    <t>PB-06</t>
  </si>
  <si>
    <t>020Q00007Q3B</t>
  </si>
  <si>
    <t>PB-07</t>
  </si>
  <si>
    <t>Claims Management</t>
  </si>
  <si>
    <t>020Q00007PT1</t>
  </si>
  <si>
    <t>PB-08</t>
  </si>
  <si>
    <t>Member and Employer Servicing</t>
  </si>
  <si>
    <t>020Q00007Q35</t>
  </si>
  <si>
    <t>PB-09</t>
  </si>
  <si>
    <t>040Q000000CY</t>
  </si>
  <si>
    <t>PB1.1</t>
  </si>
  <si>
    <t>Network Management</t>
  </si>
  <si>
    <t>040Q00000063</t>
  </si>
  <si>
    <t>PB1.2</t>
  </si>
  <si>
    <t>Provider Contracting</t>
  </si>
  <si>
    <t>040Q0000006H</t>
  </si>
  <si>
    <t>PB1.3</t>
  </si>
  <si>
    <t>Provider Credentialing</t>
  </si>
  <si>
    <t>040Q0000006X</t>
  </si>
  <si>
    <t>PB1.4</t>
  </si>
  <si>
    <t>Provider Servicing</t>
  </si>
  <si>
    <t>020Q00007WWY</t>
  </si>
  <si>
    <t>PB10</t>
  </si>
  <si>
    <t>Care Delivery and Coordination</t>
  </si>
  <si>
    <t>040Q00000K03</t>
  </si>
  <si>
    <t>PB10.1</t>
  </si>
  <si>
    <t>Provider Clinical Workflow</t>
  </si>
  <si>
    <t>040Q00000K04</t>
  </si>
  <si>
    <t>PB10.2</t>
  </si>
  <si>
    <t>Provider Clinical Care</t>
  </si>
  <si>
    <t>040Q00000K05</t>
  </si>
  <si>
    <t>PB10.3</t>
  </si>
  <si>
    <t>Provider Care Coordination</t>
  </si>
  <si>
    <t>040Q00000K06</t>
  </si>
  <si>
    <t>PB2.1</t>
  </si>
  <si>
    <t>Product Design</t>
  </si>
  <si>
    <t>040Q00000089</t>
  </si>
  <si>
    <t>PB2.2</t>
  </si>
  <si>
    <t>Build and Configure Products</t>
  </si>
  <si>
    <t>040Q0000008K</t>
  </si>
  <si>
    <t>PB2.3</t>
  </si>
  <si>
    <t>Product Go-To Market</t>
  </si>
  <si>
    <t>040Q00000093</t>
  </si>
  <si>
    <t>PB2.4</t>
  </si>
  <si>
    <t>Product Portfolio Management</t>
  </si>
  <si>
    <t>040Q0000009D</t>
  </si>
  <si>
    <t>PB2.5</t>
  </si>
  <si>
    <t>Product Governance</t>
  </si>
  <si>
    <t>040Q00000MQ7</t>
  </si>
  <si>
    <t>PB3.1</t>
  </si>
  <si>
    <t>Pricing Methodology Development</t>
  </si>
  <si>
    <t>040Q0000009K</t>
  </si>
  <si>
    <t>PB3.2</t>
  </si>
  <si>
    <t>Pricing and Underwriting Tool Management</t>
  </si>
  <si>
    <t>040Q0000009U</t>
  </si>
  <si>
    <t>PB3.3</t>
  </si>
  <si>
    <t>Premium Development</t>
  </si>
  <si>
    <t>040Q000000A7</t>
  </si>
  <si>
    <t>PB4.1</t>
  </si>
  <si>
    <t>Strategic Marketing</t>
  </si>
  <si>
    <t>040Q000000P4</t>
  </si>
  <si>
    <t>PB4.2</t>
  </si>
  <si>
    <t>Product Marketing</t>
  </si>
  <si>
    <t>040Q000000PF</t>
  </si>
  <si>
    <t>PB4.3</t>
  </si>
  <si>
    <t>Campaign Management</t>
  </si>
  <si>
    <t>040Q000000PS</t>
  </si>
  <si>
    <t>PB4.4</t>
  </si>
  <si>
    <t>Marketing Research and Analysis</t>
  </si>
  <si>
    <t>040Q000000Q9</t>
  </si>
  <si>
    <t>PB5.1</t>
  </si>
  <si>
    <t>Lead Management</t>
  </si>
  <si>
    <t>040Q0000008B</t>
  </si>
  <si>
    <t>PB5.2</t>
  </si>
  <si>
    <t>Opportunity Management</t>
  </si>
  <si>
    <t>040Q000000AU</t>
  </si>
  <si>
    <t>PB5.3</t>
  </si>
  <si>
    <t>Proposal and Quoting</t>
  </si>
  <si>
    <t>040Q000000B9</t>
  </si>
  <si>
    <t>PB5.4</t>
  </si>
  <si>
    <t>Account Management</t>
  </si>
  <si>
    <t>040Q000000NY</t>
  </si>
  <si>
    <t>PB5.5</t>
  </si>
  <si>
    <t>Sales Channel Management</t>
  </si>
  <si>
    <t>040Q0000005W</t>
  </si>
  <si>
    <t>PB6.1</t>
  </si>
  <si>
    <t>Health Program Management</t>
  </si>
  <si>
    <t>040Q000000T2</t>
  </si>
  <si>
    <t>PB6.2</t>
  </si>
  <si>
    <t>Utilization Management</t>
  </si>
  <si>
    <t>040Q0000005Y</t>
  </si>
  <si>
    <t>PB6.3</t>
  </si>
  <si>
    <t>Health and Wellness</t>
  </si>
  <si>
    <t>040Q000000V8</t>
  </si>
  <si>
    <t>PB7.1</t>
  </si>
  <si>
    <t>Claim Acquisition</t>
  </si>
  <si>
    <t>040Q000000NK</t>
  </si>
  <si>
    <t>PB7.2</t>
  </si>
  <si>
    <t>Claims Validation</t>
  </si>
  <si>
    <t>040Q000000RC</t>
  </si>
  <si>
    <t>PB7.3</t>
  </si>
  <si>
    <t>Claim Adjudication</t>
  </si>
  <si>
    <t>040Q000000RE</t>
  </si>
  <si>
    <t>PB7.4</t>
  </si>
  <si>
    <t>Claim Settlement</t>
  </si>
  <si>
    <t>040Q000000RZ</t>
  </si>
  <si>
    <t>PB7.5</t>
  </si>
  <si>
    <t>Claim Services</t>
  </si>
  <si>
    <t>040Q000000SH</t>
  </si>
  <si>
    <t>PB8.1</t>
  </si>
  <si>
    <t>Enrollment</t>
  </si>
  <si>
    <t>020Q00007R0D</t>
  </si>
  <si>
    <t>PB8.2</t>
  </si>
  <si>
    <t>Billing</t>
  </si>
  <si>
    <t>020Q00007Q7R</t>
  </si>
  <si>
    <t>PB9.1</t>
  </si>
  <si>
    <t>Service Request Resolution</t>
  </si>
  <si>
    <t>040Q00000062</t>
  </si>
  <si>
    <t>PB9.2</t>
  </si>
  <si>
    <t>Service Management</t>
  </si>
  <si>
    <t>040Q000000OY</t>
  </si>
  <si>
    <t>PB9.3</t>
  </si>
  <si>
    <t>Contact Center 9.3</t>
  </si>
  <si>
    <t>040Q00000K01</t>
  </si>
  <si>
    <t>PB9.4</t>
  </si>
  <si>
    <t>Workforce Optimization</t>
  </si>
  <si>
    <t>040Q00000K02</t>
  </si>
  <si>
    <t>National</t>
  </si>
  <si>
    <t>Central</t>
  </si>
  <si>
    <t>East</t>
  </si>
  <si>
    <t>West</t>
  </si>
  <si>
    <t>North</t>
  </si>
  <si>
    <t>South</t>
  </si>
  <si>
    <t>AL     </t>
  </si>
  <si>
    <t>AK     </t>
  </si>
  <si>
    <t>AZ    </t>
  </si>
  <si>
    <t>AR     </t>
  </si>
  <si>
    <t>CA     </t>
  </si>
  <si>
    <t>CO    </t>
  </si>
  <si>
    <t>CT     </t>
  </si>
  <si>
    <t>DE     </t>
  </si>
  <si>
    <t>FL     </t>
  </si>
  <si>
    <t>GA    </t>
  </si>
  <si>
    <t>HI     </t>
  </si>
  <si>
    <t>ID     </t>
  </si>
  <si>
    <t>IL     </t>
  </si>
  <si>
    <t>IN     </t>
  </si>
  <si>
    <t>IA     </t>
  </si>
  <si>
    <t>KS     </t>
  </si>
  <si>
    <t>KY     </t>
  </si>
  <si>
    <t>LA     </t>
  </si>
  <si>
    <t>ME    </t>
  </si>
  <si>
    <t>MD    </t>
  </si>
  <si>
    <t>MA    </t>
  </si>
  <si>
    <t>MI    </t>
  </si>
  <si>
    <t>MN    </t>
  </si>
  <si>
    <t>MT    </t>
  </si>
  <si>
    <t>MS    </t>
  </si>
  <si>
    <t>MO    </t>
  </si>
  <si>
    <t>NE</t>
  </si>
  <si>
    <t>NV</t>
  </si>
  <si>
    <t>NH</t>
  </si>
  <si>
    <t>NJ</t>
  </si>
  <si>
    <t>NM</t>
  </si>
  <si>
    <t>NY</t>
  </si>
  <si>
    <t>NC</t>
  </si>
  <si>
    <t>ND</t>
  </si>
  <si>
    <t>OH</t>
  </si>
  <si>
    <t>OK</t>
  </si>
  <si>
    <t>OR</t>
  </si>
  <si>
    <t>PA</t>
  </si>
  <si>
    <t>RI</t>
  </si>
  <si>
    <t>SC</t>
  </si>
  <si>
    <t>SD</t>
  </si>
  <si>
    <t>TN</t>
  </si>
  <si>
    <t>TX</t>
  </si>
  <si>
    <t>UT</t>
  </si>
  <si>
    <t>VT</t>
  </si>
  <si>
    <t>VA</t>
  </si>
  <si>
    <t>WA</t>
  </si>
  <si>
    <t>WV</t>
  </si>
  <si>
    <t>WI</t>
  </si>
  <si>
    <t>WY</t>
  </si>
  <si>
    <t>Enterprise</t>
  </si>
  <si>
    <t>Commercial Labor &amp; Trust</t>
  </si>
  <si>
    <t>CDHP (Consumer Driven Health Plan), HRA (Health Reimbursement Account), or HSA (Health Savings Account)</t>
  </si>
  <si>
    <t>Health Plan BPO Services Analytics Services</t>
  </si>
  <si>
    <t>Health Plan BPO Services Subrogation Services</t>
  </si>
  <si>
    <t>Health Plan BPO Services TPA Services</t>
  </si>
  <si>
    <t>Health Plan BPO Services Utilization Management Services</t>
  </si>
  <si>
    <t>Medical Plan</t>
  </si>
  <si>
    <t>Medical Plan Behavioral Health</t>
  </si>
  <si>
    <t>Medical Plan Health &amp; Wellness</t>
  </si>
  <si>
    <t>Specialty Dental</t>
  </si>
  <si>
    <t>Specialty Employee Assistance Program</t>
  </si>
  <si>
    <t>Specialty Hearing</t>
  </si>
  <si>
    <t>Specialty Life &amp; Disability</t>
  </si>
  <si>
    <t>Specialty Vision</t>
  </si>
  <si>
    <t>Specialty Voluntary</t>
  </si>
  <si>
    <t>Specialty Worker's Compensation</t>
  </si>
  <si>
    <t>Other (supplemental benefits)</t>
  </si>
  <si>
    <t>Constituent Service Management</t>
  </si>
  <si>
    <t>Analytics</t>
  </si>
  <si>
    <t>CWI Priority/Initiative</t>
  </si>
  <si>
    <t>OBA L0-L2 Name Listing</t>
  </si>
  <si>
    <t>OBA L0-L1 Name</t>
  </si>
  <si>
    <t>Development and ongoing maintenance of provider networks, including individual physicians, group practices and care facilities (e.g., inpatient and outpatient facilities, hospital systems) that offer Anthem members with the lowest cost, highest quality</t>
  </si>
  <si>
    <t>Identification and administration of a provider network through strategy development, analysis, and evaluation of target providers and facilities based on Anthem cost, quality and accessibility objectives</t>
  </si>
  <si>
    <t>Development and management of contractual agreements with Anthem providers and facilities</t>
  </si>
  <si>
    <t>Continuous validation of provider accreditations and affiliations</t>
  </si>
  <si>
    <t>Development and delivery of tools, solutions, services and communications to providers regarding network and member topics, as well as support in resolving provider inquiries</t>
  </si>
  <si>
    <t>Management of Care Delivery where Anthem owned divisions are providing care to patients and where Anthem provides Care Coordination with other health care providers.</t>
  </si>
  <si>
    <t>Management of Anthem programs designed to support and empower members as they manage existing conditions, transition to a healthier lifestyle, and efficiently utilize Care</t>
  </si>
  <si>
    <t>Management of Anthem's case, disease, and health and wellness management programs</t>
  </si>
  <si>
    <t>Development and execution of care utilization policies and practices</t>
  </si>
  <si>
    <t>Development, implementation, management, and analysis related to wellness programs</t>
  </si>
  <si>
    <t>Review, editing and validation of a claim from receipt through settlement</t>
  </si>
  <si>
    <t>The receipt of a claim via Electronic Submission  (HIPAA 837 format for Medical) or Paper into the EDI.</t>
  </si>
  <si>
    <t>Process within the Claims System that is used to validate, edit, and gather data to enrich the claim record preparing the claim to be Priced and Adjudicated.  The Claim Validation flow is used to support the error correction and capture claim decisions.</t>
  </si>
  <si>
    <t>Process within the Claims System to determine the financial responsibility based upon the Members Contract Benefits.  Creates the EOB Message Codes to explain adjudication results, updates claims history and accumulators.</t>
  </si>
  <si>
    <t>Processes within the Claims System that are done after Claims Adjudication to support Claims Adjustments, Shared Accumulator Sync, Member Out-o-pocket OOP Payment Coordination, and other Claims support after Claim Finalization.</t>
  </si>
  <si>
    <t>Supporting processes within the Claims System to support inquire, Claims Route, Claims Correct, and other Claims tools.</t>
  </si>
  <si>
    <t>Management and oversight of the processes and governance of the service framework through which requests from constituents/customers (e.g., providers, employers, members, brokers, government agencies) are serviced.</t>
  </si>
  <si>
    <t>Management of all aspects of service operations to deliver maximum customer satisfaction with most effective operational cost and workforce utilization.</t>
  </si>
  <si>
    <t>Delivery of information or performing service work to customers / constituents.</t>
  </si>
  <si>
    <t>Day-to-day operational support of the management processes related to constituent services.</t>
  </si>
  <si>
    <t>Management of contacts (inbound and outbound) with external constituencies through available service channels (e.g. phone, mail, chat etc.) and media (e.g. web, mobile, voice).</t>
  </si>
  <si>
    <t>Deals with the funding and the capital structure of Anthem and the actions taken to increase the value of Anthem to its shareholders. This domain includes the tools and processes to allocate and manage funds to support Anthem operations (e.g. planning, au</t>
  </si>
  <si>
    <t>Involves the efficient and effective management of money to achieve the objectives of Anthem. Financial management include the collection management of cash, reconciliation of payments from Anthem, financial forecasting, generation of needed financial rep</t>
  </si>
  <si>
    <t>Deals with the sourcing of goods and services to support Anthem business. Procurement team define the processes and policies and implement systems to ensure high quality goods and services needed by Anthem are acquired at the bests possible cost and in a</t>
  </si>
  <si>
    <t>Deals with the management of Anthem employee information with focus on the increase of the performance of employees, maintaining employees' satisfaction and defining/evolving Anthem corporate culture. More specifically, the HR domain involves the processe</t>
  </si>
  <si>
    <t>Enhance People Capability to meet business objectives.</t>
  </si>
  <si>
    <t>Deliver HR transactions efficiently and effectively.</t>
  </si>
  <si>
    <t>Provides an operational view of the Information Technology functions including the strategy, planning, and architectural direction, along with the design and development of applications and tools, their implementation and production management.  This IT O</t>
  </si>
  <si>
    <t>Overall governance and management of IT goals, policies, processes, capabilities, and services</t>
  </si>
  <si>
    <t>Management of the interfaces to IT customers including requirements, product and service offerings, service levels, and satisfaction</t>
  </si>
  <si>
    <t>Guides the strategy and planning of the IT organization including innovation, architecture, and portfolio management</t>
  </si>
  <si>
    <t>Design and development of IT assets, products, and services</t>
  </si>
  <si>
    <t>Transition of development solutions into production operations including change management, release management, and deployment</t>
  </si>
  <si>
    <t>Production operations of IT assets, products, and services</t>
  </si>
  <si>
    <t>Ensures the ongoing operation of IT assets, products, and services</t>
  </si>
  <si>
    <t>Administration of IT finances, suppliers, contracts, workforce, skills, and knowledge</t>
  </si>
  <si>
    <t>Legal &amp; Compliance</t>
  </si>
  <si>
    <t>Manages all aspects of internal and external legal services, including contracts, as well as compliance management and auditing.</t>
  </si>
  <si>
    <t>Involves processes, policies, best practices and systems to ensure Anthem conducts its business effectively and in accord with the legal and policy requirements.</t>
  </si>
  <si>
    <t>Involves identifying and implementing best practices as well exploring opportunities for process improvements.  Compliance management team supports the Chief Compliance Officer and the Chief Ethics and Privacy Officer with management and oversight of enterprise</t>
  </si>
  <si>
    <t>Development, promotion and strengthening of Anthem's brand(s) architecture and product images</t>
  </si>
  <si>
    <t>Development and management of an enterprise marketing and brand strategy, with associated brand campaigns to enhance consumer/member awareness, perception, and promote Anthem’s mission and core values</t>
  </si>
  <si>
    <t>Development and management of product marketing campaigns to increase sales and improve consumer awareness and perception of Anthem products</t>
  </si>
  <si>
    <t>Development and execution of initiatives with specific predefined offers, targets and timelines to induce prospects or current customers to conduct business with Anthem</t>
  </si>
  <si>
    <t>Collection and analysis of market, competitor, regulatory and consumer information to strengthen market position, product/brand awareness, and perception</t>
  </si>
  <si>
    <t>Provision of enrollment, benefits, coverage, billing and payments support to members and employers</t>
  </si>
  <si>
    <t>Registration of members and  groups in order to receive benefits and services provided by a contracted health plan or policy</t>
  </si>
  <si>
    <t>Generation and distribution of bills to employers and members so that payments for a health plan or policy may be accepted and processed</t>
  </si>
  <si>
    <t>Analysis of group and member experience and other supporting attributes (provider, product) in order to assess and price risk appropriately</t>
  </si>
  <si>
    <t>Identification, determination, and development of inputs, components, and factors in order to develop rating algorithms and methodologies</t>
  </si>
  <si>
    <t>Loading, programming and management of rating attributes, rules, tables, and algorithms via systems and applications</t>
  </si>
  <si>
    <t>Application and review of rating methodologies in order to determine the premium of an underwritten policy</t>
  </si>
  <si>
    <t>Management of Anthem products from inception to retirement</t>
  </si>
  <si>
    <t>Design and development of new or existing products from a core set of standardized and modular components</t>
  </si>
  <si>
    <t>Management and compilation of modular product components to set up product structure</t>
  </si>
  <si>
    <t>Preparation and launch activities in support of a product</t>
  </si>
  <si>
    <t>Ongoing review and maintenance of Anthem's product portfolio</t>
  </si>
  <si>
    <t>Business and IT Product Governance Functions</t>
  </si>
  <si>
    <t>Selling of Anthem products and services to different consumer segments (e.g. National Accounts, Individual) through various sales channels (e.g. Anthem account representatives, brokers, Internet)</t>
  </si>
  <si>
    <t>Identification of potential customer leads and distribution of those leads to Anthem sales force</t>
  </si>
  <si>
    <t>Development of sales proposal forecasts and material to support the initiation and closing of a sale</t>
  </si>
  <si>
    <t>Development of a proposal and quote based on a client request</t>
  </si>
  <si>
    <t>Management, servicing and maintenance of account functions</t>
  </si>
  <si>
    <t>Management of Anthem's various sales channels, including Anthem’s internal sales force, and producers/brokers</t>
  </si>
  <si>
    <t>Development and ongoing management of services and functions which support and enable the core business domains</t>
  </si>
  <si>
    <t>Classification and Life Cycle Management of content including documents, publications and images</t>
  </si>
  <si>
    <t>Generation, handling, search and retrieval of specific content instances such as an EOB or Member notification</t>
  </si>
  <si>
    <t>Trading Partner Data Exchange and Management</t>
  </si>
  <si>
    <t>Communications, collaboration, social and self-service for internal associates and internal work processes</t>
  </si>
  <si>
    <r>
      <t xml:space="preserve">REQID
</t>
    </r>
    <r>
      <rPr>
        <b/>
        <sz val="10"/>
        <color rgb="FFFFFF00"/>
        <rFont val="Calibri"/>
        <family val="2"/>
        <scheme val="minor"/>
      </rPr>
      <t>(JIRA Title)</t>
    </r>
    <r>
      <rPr>
        <b/>
        <sz val="10"/>
        <rFont val="Calibri"/>
        <family val="2"/>
        <scheme val="minor"/>
      </rPr>
      <t xml:space="preserve">
</t>
    </r>
    <r>
      <rPr>
        <b/>
        <sz val="10"/>
        <color theme="0"/>
        <rFont val="Calibri"/>
        <family val="2"/>
        <scheme val="minor"/>
      </rPr>
      <t>(Required)</t>
    </r>
  </si>
  <si>
    <t>Issue Types</t>
  </si>
  <si>
    <t>Contributor(s):</t>
  </si>
  <si>
    <t>End of GADCR</t>
  </si>
  <si>
    <t>Story</t>
  </si>
  <si>
    <t>NewSection</t>
  </si>
  <si>
    <t>JIRA Reporter Domain ID</t>
  </si>
  <si>
    <t>CWI Intake Link</t>
  </si>
  <si>
    <t>Initiation Documentation SharePoint Site</t>
  </si>
  <si>
    <t>Detail Req Type</t>
  </si>
  <si>
    <t>Regulatory</t>
  </si>
  <si>
    <t>Dependencies</t>
  </si>
  <si>
    <t>Work Request Intake Record</t>
  </si>
  <si>
    <t>Initiation Ready-Set-Go / Kickoff Deck</t>
  </si>
  <si>
    <t>&lt;Root Directory to Initiation SharePoint Documentation Site for the project&gt;</t>
  </si>
  <si>
    <t>Initiation Order</t>
  </si>
  <si>
    <r>
      <t xml:space="preserve">WAVE ID </t>
    </r>
    <r>
      <rPr>
        <b/>
        <i/>
        <sz val="9"/>
        <color rgb="FFFF0000"/>
        <rFont val="Calibri"/>
        <family val="2"/>
        <scheme val="minor"/>
      </rPr>
      <t>(NOT applicable for all)</t>
    </r>
  </si>
  <si>
    <t>REQID</t>
  </si>
  <si>
    <r>
      <t xml:space="preserve">Notes
</t>
    </r>
    <r>
      <rPr>
        <b/>
        <sz val="10"/>
        <color rgb="FFFFFF00"/>
        <rFont val="Calibri"/>
        <family val="2"/>
        <scheme val="minor"/>
      </rPr>
      <t xml:space="preserve">(JIRA Description)
</t>
    </r>
    <r>
      <rPr>
        <b/>
        <sz val="10"/>
        <color theme="0"/>
        <rFont val="Calibri"/>
        <family val="2"/>
        <scheme val="minor"/>
      </rPr>
      <t>(Optional)</t>
    </r>
  </si>
  <si>
    <r>
      <t xml:space="preserve">Business Identified Impacted Areas
</t>
    </r>
    <r>
      <rPr>
        <b/>
        <sz val="10"/>
        <color rgb="FFFFFF00"/>
        <rFont val="Calibri"/>
        <family val="2"/>
        <scheme val="minor"/>
      </rPr>
      <t>(JIRA Description)</t>
    </r>
    <r>
      <rPr>
        <b/>
        <sz val="10"/>
        <color theme="1"/>
        <rFont val="Calibri"/>
        <family val="2"/>
        <scheme val="minor"/>
      </rPr>
      <t xml:space="preserve">
</t>
    </r>
    <r>
      <rPr>
        <b/>
        <sz val="10"/>
        <color theme="0"/>
        <rFont val="Calibri"/>
        <family val="2"/>
        <scheme val="minor"/>
      </rPr>
      <t>(Optional)</t>
    </r>
  </si>
  <si>
    <t>Notes</t>
  </si>
  <si>
    <t>Date
Changed</t>
  </si>
  <si>
    <t>US Domain of User Who Made the Change</t>
  </si>
  <si>
    <t>LABEL</t>
  </si>
  <si>
    <t>IT Identified Impacted Areas</t>
  </si>
  <si>
    <t>Business Identified Impacted Areas</t>
  </si>
  <si>
    <t>Contributors</t>
  </si>
  <si>
    <t>Issue Type Title Summary</t>
  </si>
  <si>
    <t>&lt;link&gt;</t>
  </si>
  <si>
    <t xml:space="preserve">The collections, analysis, enrichment, supporting platforms, and distribution of analytic information along with insights gained through the processing of that analytic information.
Questions To Ask: 
1. What kind of data would need to appear on the report?
a. Examples: claims, membership, H&amp;W
b. Are you looking for a report or an extract file?
2. What is the general purpose of the report?
3. In a general sense how many fields would be on the report?
a. This can be a range for example 10-20 fields
4. Who is the end user of the report?
5. How often should the report be run?
6. How will the report be delivered?
7. Is this a temp report?
a. If so, how long will the report be needed?
8. What format do you want to see the report?    
9. If you are wanting to mirror another report, Please provide the sample or report number.
10. Record the contributor that provided the information above. 
</t>
  </si>
  <si>
    <t>Questions to ask in support of capturing Reporting Requirements:</t>
  </si>
  <si>
    <t xml:space="preserve">1. What kind of data would need to appear on the report?
a. Examples: claims, membership, H&amp;W
b. Are you looking for a report or an extract file?
2. What is the general purpose of the report?
3. In a general sense how many fields would be on the report?
a. This can be a range for example 10-20 fields
4. Who is the end user of the report?
5. How often should the report be run?
6. How will the report be delivered?
7. Is this a temp report?
a. If so, how long will the report be needed?
8. What format do you want to see the report?    
9. If you are wanting to mirror another report, Please provide the sample or report number.
10. Record the contributor that provided the information above. 
</t>
  </si>
  <si>
    <r>
      <t xml:space="preserve">Issue Type Title/Summary
</t>
    </r>
    <r>
      <rPr>
        <b/>
        <sz val="10"/>
        <color rgb="FFFFFF00"/>
        <rFont val="Calibri"/>
        <family val="2"/>
        <scheme val="minor"/>
      </rPr>
      <t>(JIRA Title)</t>
    </r>
    <r>
      <rPr>
        <b/>
        <sz val="10"/>
        <rFont val="Calibri"/>
        <family val="2"/>
        <scheme val="minor"/>
      </rPr>
      <t xml:space="preserve">
</t>
    </r>
    <r>
      <rPr>
        <b/>
        <sz val="10"/>
        <color theme="0"/>
        <rFont val="Calibri"/>
        <family val="2"/>
        <scheme val="minor"/>
      </rPr>
      <t>(Required)</t>
    </r>
  </si>
  <si>
    <r>
      <t xml:space="preserve">Acceptance Criteria
</t>
    </r>
    <r>
      <rPr>
        <b/>
        <sz val="10"/>
        <color rgb="FFFFFF00"/>
        <rFont val="Calibri"/>
        <family val="2"/>
        <scheme val="minor"/>
      </rPr>
      <t>(JIRA Acceptance Criteria)</t>
    </r>
    <r>
      <rPr>
        <b/>
        <sz val="10"/>
        <rFont val="Calibri"/>
        <family val="2"/>
        <scheme val="minor"/>
      </rPr>
      <t xml:space="preserve">
</t>
    </r>
    <r>
      <rPr>
        <b/>
        <sz val="10"/>
        <color theme="0"/>
        <rFont val="Calibri"/>
        <family val="2"/>
        <scheme val="minor"/>
      </rPr>
      <t>(Optional)</t>
    </r>
  </si>
  <si>
    <t>Acceptance Criteria</t>
  </si>
  <si>
    <t>Total Action Items:</t>
  </si>
  <si>
    <t>Capabilities:</t>
  </si>
  <si>
    <t>Solution Responses:</t>
  </si>
  <si>
    <t>Assumptions</t>
  </si>
  <si>
    <t>Please see the 'About' worksheet for Important Information to take into consideration when using this template.</t>
  </si>
  <si>
    <t>JIRA Initiative Issue Type's "Initiative Work ID"</t>
  </si>
  <si>
    <t>JIRA Initiative Issue Type's Assigned (Key) ID</t>
  </si>
  <si>
    <t>IT Delivery Manager's Name</t>
  </si>
  <si>
    <t>IT Delivery Manager's US Domain ID</t>
  </si>
  <si>
    <r>
      <t>Document Metrics</t>
    </r>
    <r>
      <rPr>
        <b/>
        <sz val="11"/>
        <rFont val="Calibri"/>
        <family val="2"/>
        <scheme val="minor"/>
      </rPr>
      <t xml:space="preserve"> </t>
    </r>
    <r>
      <rPr>
        <b/>
        <i/>
        <sz val="11"/>
        <rFont val="Calibri"/>
        <family val="2"/>
        <scheme val="minor"/>
      </rPr>
      <t>(auto-calculated)</t>
    </r>
  </si>
  <si>
    <t>IMPORTANT: Do NOT delete this row or the orange row below.  The Orange row is reserved for Header information only.  The Header information is independent of the Initiation Services BRD Template.  You should ensure that the Header information entered helps you identify the intent/context of the column's data.  This information will be used to identify the columns you want to convert/map to the 'EPICS' worksheet.  Your data MUST start on the THIRD row for the conversion to work appropriately.</t>
  </si>
  <si>
    <r>
      <t xml:space="preserve">WID ID </t>
    </r>
    <r>
      <rPr>
        <b/>
        <i/>
        <sz val="10"/>
        <rFont val="Calibri"/>
        <family val="2"/>
        <scheme val="minor"/>
      </rPr>
      <t>(Pulled from Work ID - must include "WID" prefix)</t>
    </r>
  </si>
  <si>
    <r>
      <t xml:space="preserve">Number of EPICs/User Stories </t>
    </r>
    <r>
      <rPr>
        <b/>
        <i/>
        <sz val="9"/>
        <color theme="1"/>
        <rFont val="Calibri"/>
        <family val="2"/>
        <scheme val="minor"/>
      </rPr>
      <t>(auto-calculated)</t>
    </r>
  </si>
  <si>
    <r>
      <t xml:space="preserve">Issue Type Title Summary
</t>
    </r>
    <r>
      <rPr>
        <sz val="9"/>
        <color theme="1"/>
        <rFont val="Calibri"/>
        <family val="2"/>
        <scheme val="minor"/>
      </rPr>
      <t>Issue Type Title Summary of the Requirement from the EPICS tab.</t>
    </r>
    <r>
      <rPr>
        <b/>
        <sz val="9"/>
        <color theme="0"/>
        <rFont val="Calibri"/>
        <family val="2"/>
        <scheme val="minor"/>
      </rPr>
      <t xml:space="preserve">
(Required)</t>
    </r>
  </si>
  <si>
    <r>
      <t>REQID</t>
    </r>
    <r>
      <rPr>
        <sz val="9"/>
        <color theme="1"/>
        <rFont val="Calibri"/>
        <family val="2"/>
        <scheme val="minor"/>
      </rPr>
      <t xml:space="preserve">
The REQID from the EPICS tab.
</t>
    </r>
    <r>
      <rPr>
        <b/>
        <sz val="9"/>
        <color theme="0"/>
        <rFont val="Calibri"/>
        <family val="2"/>
        <scheme val="minor"/>
      </rPr>
      <t>(Required)</t>
    </r>
  </si>
  <si>
    <r>
      <t xml:space="preserve">Issue Type
</t>
    </r>
    <r>
      <rPr>
        <sz val="9"/>
        <color theme="1"/>
        <rFont val="Calibri"/>
        <family val="2"/>
        <scheme val="minor"/>
      </rPr>
      <t xml:space="preserve">The Issue Type from the EPICS tab. (i.e. NewSection, Capability, EPIC, or Story)
</t>
    </r>
    <r>
      <rPr>
        <b/>
        <sz val="9"/>
        <color theme="0"/>
        <rFont val="Calibri"/>
        <family val="2"/>
        <scheme val="minor"/>
      </rPr>
      <t>(Required)</t>
    </r>
  </si>
  <si>
    <t>Known Issues:</t>
  </si>
  <si>
    <r>
      <t xml:space="preserve">Need By Date
</t>
    </r>
    <r>
      <rPr>
        <b/>
        <sz val="10"/>
        <color rgb="FFFFFF00"/>
        <rFont val="Calibri"/>
        <family val="2"/>
        <scheme val="minor"/>
      </rPr>
      <t>(JIRA Need By Date)</t>
    </r>
    <r>
      <rPr>
        <b/>
        <sz val="10"/>
        <rFont val="Calibri"/>
        <family val="2"/>
        <scheme val="minor"/>
      </rPr>
      <t xml:space="preserve">
</t>
    </r>
    <r>
      <rPr>
        <b/>
        <sz val="10"/>
        <color theme="0"/>
        <rFont val="Calibri"/>
        <family val="2"/>
        <scheme val="minor"/>
      </rPr>
      <t>(Optional)</t>
    </r>
  </si>
  <si>
    <t>Need By Date</t>
  </si>
  <si>
    <t>Change Log Notes</t>
  </si>
  <si>
    <t>Map EPICs and Stories to Each System That They Impact Per Line</t>
  </si>
  <si>
    <t>Title Page</t>
  </si>
  <si>
    <t>GADCR</t>
  </si>
  <si>
    <t>About</t>
  </si>
  <si>
    <t>EPICS</t>
  </si>
  <si>
    <t>Action Items</t>
  </si>
  <si>
    <t>Change Log</t>
  </si>
  <si>
    <t>IS_Requirements Mapping</t>
  </si>
  <si>
    <t>Reporting Questions</t>
  </si>
  <si>
    <t>OBA</t>
  </si>
  <si>
    <t>BRD Convert</t>
  </si>
  <si>
    <t>IS_Impacted_Systems_List</t>
  </si>
  <si>
    <t>Initiation Services BRD Template and JIRA Import Creation Tool</t>
  </si>
  <si>
    <t>1. Sometimes, after running a macro, Excel and/or the screen will not appear to respond.  This appears to be a known bug/issue with Excel.  To get around this, you just need to select another tab and then select the tab you want to update again OR open/switch to another Excel workbook and then switch back.</t>
  </si>
  <si>
    <t>Release Notes:</t>
  </si>
  <si>
    <t>For help on how to use this template/tool:</t>
  </si>
  <si>
    <t>Custom Information</t>
  </si>
  <si>
    <t xml:space="preserve">Help: How to Find the Initiative Issue Type's Information in JIRA by CWI Work ID or Wave ID </t>
  </si>
  <si>
    <r>
      <t xml:space="preserve">LABEL(s)
</t>
    </r>
    <r>
      <rPr>
        <b/>
        <sz val="10"/>
        <color rgb="FFFFFF00"/>
        <rFont val="Calibri"/>
        <family val="2"/>
        <scheme val="minor"/>
      </rPr>
      <t xml:space="preserve">(JIRA Label)
</t>
    </r>
    <r>
      <rPr>
        <b/>
        <sz val="10"/>
        <color theme="0"/>
        <rFont val="Calibri"/>
        <family val="2"/>
        <scheme val="minor"/>
      </rPr>
      <t>(Optional)</t>
    </r>
  </si>
  <si>
    <t>Link to Most Recently Published Initiation Services BRD Template</t>
  </si>
  <si>
    <r>
      <t xml:space="preserve">Contributor(s)
</t>
    </r>
    <r>
      <rPr>
        <b/>
        <sz val="10"/>
        <color rgb="FFFFFF00"/>
        <rFont val="Calibri"/>
        <family val="2"/>
        <scheme val="minor"/>
      </rPr>
      <t>(JIRA Description)</t>
    </r>
    <r>
      <rPr>
        <b/>
        <sz val="10"/>
        <rFont val="Calibri"/>
        <family val="2"/>
        <scheme val="minor"/>
      </rPr>
      <t xml:space="preserve">
</t>
    </r>
    <r>
      <rPr>
        <b/>
        <sz val="10"/>
        <color theme="0"/>
        <rFont val="Calibri"/>
        <family val="2"/>
        <scheme val="minor"/>
      </rPr>
      <t>(Required)</t>
    </r>
  </si>
  <si>
    <r>
      <t xml:space="preserve">Description
</t>
    </r>
    <r>
      <rPr>
        <b/>
        <sz val="10"/>
        <rFont val="Calibri"/>
        <family val="2"/>
        <scheme val="minor"/>
      </rPr>
      <t>(Capability is a summary description not in User story voice.)
(EPIC and User Story Format: As a &lt;who&gt;, I want to &lt;what&gt; so that &lt;why&gt;.)</t>
    </r>
  </si>
  <si>
    <r>
      <t xml:space="preserve">JIRA Issue Type
</t>
    </r>
    <r>
      <rPr>
        <b/>
        <sz val="10"/>
        <rFont val="Calibri"/>
        <family val="2"/>
        <scheme val="minor"/>
      </rPr>
      <t xml:space="preserve">(New Section, Capability, EPIC or  Story)
</t>
    </r>
    <r>
      <rPr>
        <b/>
        <sz val="10"/>
        <color rgb="FFFFFF00"/>
        <rFont val="Calibri"/>
        <family val="2"/>
        <scheme val="minor"/>
      </rPr>
      <t>(JIRA Issue Type)</t>
    </r>
    <r>
      <rPr>
        <b/>
        <sz val="10"/>
        <rFont val="Calibri"/>
        <family val="2"/>
        <scheme val="minor"/>
      </rPr>
      <t xml:space="preserve">
</t>
    </r>
    <r>
      <rPr>
        <b/>
        <sz val="10"/>
        <color theme="0"/>
        <rFont val="Calibri"/>
        <family val="2"/>
        <scheme val="minor"/>
      </rPr>
      <t>(Required)</t>
    </r>
  </si>
  <si>
    <t>i. JIRA will not keep the same formatting either due to the nature of the import process.</t>
  </si>
  <si>
    <t>ii. For more information on JIRA formatting and notation options, please visit the Atlassian link below:</t>
  </si>
  <si>
    <t>3. You can only add columns to the end of each worksheet (i.e. the columns as defined must remain unchanged).</t>
  </si>
  <si>
    <t>a. Change the name of or delete any of the non-JIRA related worksheets/tabs.
b. Change any of the header names on any of the worksheets.
c. Remove the header rows on any of the worksheets.
d. Change the name of any of the worksheets/tabs.
e. Add additional rows to the ‘Title Page’ worksheet above row 11.
f. Add additional rows above the headers on any worksheet/tab.</t>
  </si>
  <si>
    <r>
      <t xml:space="preserve">2. </t>
    </r>
    <r>
      <rPr>
        <b/>
        <i/>
        <sz val="11"/>
        <rFont val="Calibri"/>
        <family val="2"/>
        <scheme val="minor"/>
      </rPr>
      <t>DO NOT:</t>
    </r>
  </si>
  <si>
    <t>• However, the JIRA Creation macros will not be able to take those additional columns into account.</t>
  </si>
  <si>
    <t>Critical Guidelines to Follow:</t>
  </si>
  <si>
    <r>
      <t xml:space="preserve">This workbook is used by the Initiation Services team to capture high-level business requirements (Capabilities/Epics) for an initiative during Initiation.  The template supports the creation of JIRA Import templates as well as the ability to convert another Excel based BRD template into the Initiation Services template required structure.
</t>
    </r>
    <r>
      <rPr>
        <b/>
        <i/>
        <sz val="11"/>
        <color theme="3"/>
        <rFont val="Calibri"/>
        <family val="2"/>
        <scheme val="minor"/>
      </rPr>
      <t>Additional teams may use this template during the capturing of their requirements for import into JIRA as well.</t>
    </r>
  </si>
  <si>
    <t>https://jira.atlassian.com/secure/WikiRendererHelpAction.jspa?section=all</t>
  </si>
  <si>
    <r>
      <t xml:space="preserve">1. </t>
    </r>
    <r>
      <rPr>
        <b/>
        <sz val="11"/>
        <rFont val="Calibri"/>
        <family val="2"/>
        <scheme val="minor"/>
      </rPr>
      <t>The macros copy the text values from each column to perform the BRD Conversion/Mapping and Create the JIRA Imports, so any special formatting</t>
    </r>
    <r>
      <rPr>
        <sz val="11"/>
        <rFont val="Calibri"/>
        <family val="2"/>
        <scheme val="minor"/>
      </rPr>
      <t xml:space="preserve"> (i.e. </t>
    </r>
    <r>
      <rPr>
        <u/>
        <sz val="11"/>
        <rFont val="Calibri"/>
        <family val="2"/>
        <scheme val="minor"/>
      </rPr>
      <t>text underline</t>
    </r>
    <r>
      <rPr>
        <sz val="11"/>
        <rFont val="Calibri"/>
        <family val="2"/>
        <scheme val="minor"/>
      </rPr>
      <t xml:space="preserve">, </t>
    </r>
    <r>
      <rPr>
        <i/>
        <sz val="11"/>
        <rFont val="Calibri"/>
        <family val="2"/>
        <scheme val="minor"/>
      </rPr>
      <t>italics</t>
    </r>
    <r>
      <rPr>
        <sz val="11"/>
        <rFont val="Calibri"/>
        <family val="2"/>
        <scheme val="minor"/>
      </rPr>
      <t xml:space="preserve">, </t>
    </r>
    <r>
      <rPr>
        <b/>
        <sz val="11"/>
        <rFont val="Calibri"/>
        <family val="2"/>
        <scheme val="minor"/>
      </rPr>
      <t>bold</t>
    </r>
    <r>
      <rPr>
        <sz val="11"/>
        <rFont val="Calibri"/>
        <family val="2"/>
        <scheme val="minor"/>
      </rPr>
      <t xml:space="preserve">, </t>
    </r>
    <r>
      <rPr>
        <strike/>
        <sz val="11"/>
        <rFont val="Calibri"/>
        <family val="2"/>
        <scheme val="minor"/>
      </rPr>
      <t>strikethrough</t>
    </r>
    <r>
      <rPr>
        <sz val="11"/>
        <rFont val="Calibri"/>
        <family val="2"/>
        <scheme val="minor"/>
      </rPr>
      <t xml:space="preserve">, </t>
    </r>
    <r>
      <rPr>
        <sz val="11"/>
        <color rgb="FFFF0000"/>
        <rFont val="Calibri"/>
        <family val="2"/>
        <scheme val="minor"/>
      </rPr>
      <t>color</t>
    </r>
    <r>
      <rPr>
        <sz val="11"/>
        <rFont val="Calibri"/>
        <family val="2"/>
        <scheme val="minor"/>
      </rPr>
      <t>, highlighting, etc) would not be kept.</t>
    </r>
  </si>
  <si>
    <r>
      <t>Requirement Description
(</t>
    </r>
    <r>
      <rPr>
        <b/>
        <sz val="10"/>
        <rFont val="Calibri"/>
        <family val="2"/>
        <scheme val="minor"/>
      </rPr>
      <t>Capability is a summary description not in User story voice.)
(EPIC and User Story Format: As a &lt;who&gt;, I want to &lt;what&gt; so that &lt;why&gt;.)</t>
    </r>
    <r>
      <rPr>
        <b/>
        <sz val="11"/>
        <rFont val="Calibri"/>
        <family val="2"/>
        <scheme val="minor"/>
      </rPr>
      <t xml:space="preserve">
</t>
    </r>
    <r>
      <rPr>
        <b/>
        <sz val="10"/>
        <color rgb="FFFFFF00"/>
        <rFont val="Calibri"/>
        <family val="2"/>
        <scheme val="minor"/>
      </rPr>
      <t>(JIRA Description)</t>
    </r>
    <r>
      <rPr>
        <b/>
        <sz val="11"/>
        <rFont val="Calibri"/>
        <family val="2"/>
        <scheme val="minor"/>
      </rPr>
      <t xml:space="preserve">
</t>
    </r>
    <r>
      <rPr>
        <b/>
        <sz val="10"/>
        <color theme="0"/>
        <rFont val="Calibri"/>
        <family val="2"/>
        <scheme val="minor"/>
      </rPr>
      <t>(Required)</t>
    </r>
  </si>
  <si>
    <r>
      <t xml:space="preserve">Requirement Description
</t>
    </r>
    <r>
      <rPr>
        <sz val="9"/>
        <color theme="1"/>
        <rFont val="Calibri"/>
        <family val="2"/>
        <scheme val="minor"/>
      </rPr>
      <t xml:space="preserve">Description of the Requirement from the EPICS tab.
</t>
    </r>
    <r>
      <rPr>
        <b/>
        <sz val="9"/>
        <color theme="0"/>
        <rFont val="Calibri"/>
        <family val="2"/>
        <scheme val="minor"/>
      </rPr>
      <t>(Required)</t>
    </r>
  </si>
  <si>
    <r>
      <t xml:space="preserve">SSCR ID </t>
    </r>
    <r>
      <rPr>
        <b/>
        <i/>
        <sz val="9"/>
        <color rgb="FFFF0000"/>
        <rFont val="Calibri"/>
        <family val="2"/>
        <scheme val="minor"/>
      </rPr>
      <t>(NOT applicable for Initiation Services OR Projects)</t>
    </r>
  </si>
  <si>
    <t>Shortcuts to Help for this Template/Tool:</t>
  </si>
  <si>
    <t>1. Critical Guidelines to Follow</t>
  </si>
  <si>
    <t>2. Known Issues</t>
  </si>
  <si>
    <t>a. Prior to using these macros, the user will need to ensure that the column values are updated, as needed, based on any special formatting that the team had done while working with the requirements – to include removing any of the above for mentioned formatting if it was used to denote something.</t>
  </si>
  <si>
    <t>3. Release Notes</t>
  </si>
  <si>
    <t>Changes made to:</t>
  </si>
  <si>
    <t>Changes Made:</t>
  </si>
  <si>
    <t>4. JIRA Formatting and Notation Help</t>
  </si>
  <si>
    <t>3.x</t>
  </si>
  <si>
    <t>1. Check that there are no duplicate REQIDs on the 'EPICS' worksheet.</t>
  </si>
  <si>
    <t>1. Added logic to verify that the Issue Type, Issue Type Title/Summary, and Description values for a matching REQID between the 'EPICS' and 'IS_Requirements Mapping' worksheets all match.
2. Added logic to check to check whether any information was previously captured in the "IT Identified Impacted Areas" column and prompt the user on whether or not to continue with the overwrite from the 'IS_Requirements Mapping' worksheet or not.</t>
  </si>
  <si>
    <t>To be used when something does NOT require IT changes to implement - (i.e. Business Process Only)</t>
  </si>
  <si>
    <t>1. Revamped template structure/format to remove columns no longer needed and add new columns requested in support of more efficient requirements capturing and JIRA Import Creation based off of initial 12 month use of the previous template.
2. Modified code to no longer reference the old columns and to reference the new columns, to include conversion, change log, JIRA Import Creation, and BRD Conversion macros.
3. Modified code to cleanup what is added to the JIRA Description field value based on whether the associated columns have a value or not.
4. Modified code to include WAVE# and SSCR# as a part of the defaulted Labels options for JIRA and to work through the Labels added by the user and append the JIRA WIDID to them.</t>
  </si>
  <si>
    <t xml:space="preserve">1. Revamped the look and feel of the template in preparation to support the use of additional teams beyond the Initiation Services Team.
2. Ground up rebuild and rewrite of the code to improve speed, functionality, maintainability, enhance and add additional error checking and handling, enhance JIRA Import Creation structure based on lessons learned, and streamline duplicated logic and forms.
3. Modified code to dynamically identify how many records exist and to be able to accomodate spaces in critical fields without negatively impacting the ability to run the macros.
4. Reordered the 'Title Page' JIRA fields to align with the order of how they are listed and found in JIRA.
5. Added WAVE ID and SSCR ID to the 'Title Page' so that it can easily be identified and readily viewable as well as used in support of the JIRA Import Creation.
6. Changed the formatting of the JIRA Description fields for the Issue Types loaded so that the information captured was more easily readable and organized within JIRA.
7. Added logic and checks to validate the structure of the template, to the extent possible, and prompt the user when errors are found so that they can be corrected prior to the successful run of the macros.
8. Re-engineered the BRD Convert logic and form to provide error checking and more easily select the columns that are desired to be converted/mapped.
9. Re-engineered the JIRA Import Creation logic and form to prompt the user on what types of imports they'd like to select and check and prompt before deleting and overwriting any existing JIRA Import worksheets previously created.
10. Enhanced error and validation checking and all associated message prompts to the end user with the intent to be able to support the use of the template from areas outside of Initiation Services.
11. Added the ability for the macros to dynamically interpret the GADCR information in support of validating the structure, identifying what rows can be moved, and identifying what type of information a row is.
12. Rewrote the "Create Standard (STD) OBA" macro to use the Domain Level 0 information from the 'OBA' worksheet to align with the Enterprise Standard definitions/structure.
13. Modified the JIRA Import file creation using some Atlassian defined formatting capabilities that results in clearer header identification and readability.  In addition, added the ability for the code to count and identify the number of GADCR type records within the JIRA Creation logic.
14. Multiple other enhancements and code restructuring.
15. Added this 'About' worksheet and 'Reporting Questions' worksheet.
</t>
  </si>
  <si>
    <r>
      <t xml:space="preserve">IT Identified Impacted Areas
</t>
    </r>
    <r>
      <rPr>
        <b/>
        <sz val="10"/>
        <color rgb="FFFFFF00"/>
        <rFont val="Calibri"/>
        <family val="2"/>
        <scheme val="minor"/>
      </rPr>
      <t>(JIRA Description)</t>
    </r>
    <r>
      <rPr>
        <b/>
        <sz val="10"/>
        <color theme="1"/>
        <rFont val="Calibri"/>
        <family val="2"/>
        <scheme val="minor"/>
      </rPr>
      <t xml:space="preserve">
</t>
    </r>
    <r>
      <rPr>
        <b/>
        <sz val="10"/>
        <color theme="5" tint="-0.249977111117893"/>
        <rFont val="Calibri"/>
        <family val="2"/>
        <scheme val="minor"/>
      </rPr>
      <t>(AUTO-POPULATED - pulled from the  'IS_Requirements Mapping' worksheet) - DO NOT MANUALLY ENTER</t>
    </r>
  </si>
  <si>
    <t>Authors:</t>
  </si>
  <si>
    <t>Jeremy Roever</t>
  </si>
  <si>
    <t>Qamar Ali</t>
  </si>
  <si>
    <t>Always download and use the latest BRD Template from the link below:</t>
  </si>
  <si>
    <r>
      <t xml:space="preserve">Tab Legend: </t>
    </r>
    <r>
      <rPr>
        <i/>
        <sz val="9"/>
        <color theme="1"/>
        <rFont val="Calibri"/>
        <family val="2"/>
        <scheme val="minor"/>
      </rPr>
      <t>(Move your mouse over each box below to get an explanation of the tabs/worksheets.  Click the links to be taken to the worksheet.)</t>
    </r>
  </si>
  <si>
    <t>Conditional Use</t>
  </si>
  <si>
    <t>Required Info</t>
  </si>
  <si>
    <t>Helpful Guidance</t>
  </si>
  <si>
    <t>4. "REQID" values must be unique for each record.  Must be in alphabetic and sequential order.</t>
  </si>
  <si>
    <t>Change Log Records:</t>
  </si>
  <si>
    <t>Systems Identified:</t>
  </si>
  <si>
    <r>
      <t xml:space="preserve">JIRA Issue Type
</t>
    </r>
    <r>
      <rPr>
        <b/>
        <sz val="10"/>
        <rFont val="Calibri"/>
        <family val="2"/>
        <scheme val="minor"/>
      </rPr>
      <t>(New Section, Capability, EPIC or  Story)</t>
    </r>
  </si>
  <si>
    <t>JIRA Initiative Issue Type's "Work ID No"
JIRA Initiative Issue Type's Assigned (Key) ID</t>
  </si>
  <si>
    <t>1. Created a generic subroutine that encompasses all logic necessary to link Child records to their corresponding Parent records based on the arguments passed to the subroutine.
2. Added new buttons/macro logic to be able to link EPICs to Capabilities using the REQID values by calling the generic Child/Parent subroutine.
3. Added new buttons/macro logic to be able to link Stories to EPICs using the REQID values by calling the generic Child/Parent subroutine.
4. Added a new button/macro logic to create a copy of the JIRA GADCR worksheet in a new workbook so that it can be saved as a CSV and used for importing into JIRA.
5. Added a new button/macro logic to create a copy of the JIRA CAP worksheet in a new workbook so that it can be saved as a CSV and used for importing into JIRA.
6. Added a new button/macro logic to create a copy of the JIRA EPICS worksheet in a new workbook so that it can be saved as a CSV and used for importing into JIRA.
7. Added a new button/macro logic to create a copy of the JIRA Story worksheet in a new workbook so that it can be saved as a CSV and used for importing into JIRA.
8. Added logic for the Child/Parent Linking buttons, "Load All Requirements to Mapping Worksheet" button, and "Create JIRA Imports" button to prompt the user for confirmation that the REQIDs are in the both Alphabetic and Numeric order before proceeding.  Due to the nature of the column, the code is unable to automatically perform the check, so it must prompt the user to review and confirm instead.
9. Updated the 'Title Page' worksheet to prompt for the JIRA Initiative Issue Type's "Work ID No" instead of the "Work ID" description.  "Work ID No" is needed to be able to display the correct "Work ID" description in JIRA now since the September 2018 JIRA Release.</t>
  </si>
  <si>
    <r>
      <rPr>
        <b/>
        <sz val="18"/>
        <color theme="0"/>
        <rFont val="Calibri"/>
        <family val="2"/>
        <scheme val="minor"/>
      </rPr>
      <t>Warning:</t>
    </r>
    <r>
      <rPr>
        <sz val="16"/>
        <color theme="0"/>
        <rFont val="Calibri"/>
        <family val="2"/>
        <scheme val="minor"/>
      </rPr>
      <t xml:space="preserve"> System Name (Column E) </t>
    </r>
    <r>
      <rPr>
        <u/>
        <sz val="16"/>
        <color theme="0"/>
        <rFont val="Calibri"/>
        <family val="2"/>
        <scheme val="minor"/>
      </rPr>
      <t>MUST BE populated</t>
    </r>
    <r>
      <rPr>
        <sz val="16"/>
        <color theme="0"/>
        <rFont val="Calibri"/>
        <family val="2"/>
        <scheme val="minor"/>
      </rPr>
      <t xml:space="preserve"> for every record. If no IT impact then select "</t>
    </r>
    <r>
      <rPr>
        <sz val="12"/>
        <color theme="0"/>
        <rFont val="Calibri"/>
        <family val="2"/>
        <scheme val="minor"/>
      </rPr>
      <t>** Business Process Only - NO IT Involvement Needed</t>
    </r>
    <r>
      <rPr>
        <sz val="16"/>
        <color theme="0"/>
        <rFont val="Calibri"/>
        <family val="2"/>
        <scheme val="minor"/>
      </rPr>
      <t>".</t>
    </r>
    <r>
      <rPr>
        <sz val="18"/>
        <color theme="0"/>
        <rFont val="Calibri"/>
        <family val="2"/>
        <scheme val="minor"/>
      </rPr>
      <t xml:space="preserve">
</t>
    </r>
    <r>
      <rPr>
        <b/>
        <sz val="18"/>
        <color theme="0"/>
        <rFont val="Calibri"/>
        <family val="2"/>
        <scheme val="minor"/>
      </rPr>
      <t>FYI:</t>
    </r>
    <r>
      <rPr>
        <sz val="18"/>
        <color theme="0"/>
        <rFont val="Calibri"/>
        <family val="2"/>
        <scheme val="minor"/>
      </rPr>
      <t xml:space="preserve"> </t>
    </r>
    <r>
      <rPr>
        <i/>
        <sz val="13"/>
        <color theme="0"/>
        <rFont val="Calibri"/>
        <family val="2"/>
        <scheme val="minor"/>
      </rPr>
      <t xml:space="preserve">Use the "Repeat Requirement" button to the left to duplicate the requirement on a new line to map to an additional system of impact.  Also, please </t>
    </r>
    <r>
      <rPr>
        <i/>
        <u/>
        <sz val="13"/>
        <color theme="0"/>
        <rFont val="Calibri"/>
        <family val="2"/>
        <scheme val="minor"/>
      </rPr>
      <t>ensure that all REQIDs are in alphabetic and numeric order</t>
    </r>
    <r>
      <rPr>
        <i/>
        <sz val="13"/>
        <color theme="0"/>
        <rFont val="Calibri"/>
        <family val="2"/>
        <scheme val="minor"/>
      </rPr>
      <t>.</t>
    </r>
  </si>
  <si>
    <r>
      <t xml:space="preserve">System Name
</t>
    </r>
    <r>
      <rPr>
        <b/>
        <sz val="9"/>
        <color rgb="FFC00000"/>
        <rFont val="Calibri"/>
        <family val="2"/>
        <scheme val="minor"/>
      </rPr>
      <t>(Issue Type's of 'NewSection' OR 'Capability' should be defined as "** Not Applicable")</t>
    </r>
    <r>
      <rPr>
        <b/>
        <sz val="11"/>
        <color theme="1"/>
        <rFont val="Calibri"/>
        <family val="2"/>
        <scheme val="minor"/>
      </rPr>
      <t xml:space="preserve">
</t>
    </r>
    <r>
      <rPr>
        <b/>
        <sz val="9"/>
        <color theme="0"/>
        <rFont val="Calibri"/>
        <family val="2"/>
        <scheme val="minor"/>
      </rPr>
      <t>(Required)</t>
    </r>
  </si>
  <si>
    <t>BETA Testing, not ready for broad production use/sharing, under development and refinement.</t>
  </si>
  <si>
    <t>1. Added logic to prevent the ability to repeate the selected requirement/row on the 'IS_Requirements Mapping' worksheet when the "Issue Type" is a "NewSection" or a "Capability".
2. Added logic to automatically default the "System Name", for Issue Types "NewSection" and "Capability", on the 'IS_Requirements Mapping' worksheet to "Not Applicable" during the loading of all requirements from the 'EPICS' worksheet over to the 'IS_Requirements Mapping' worksheet via the "Load All Requirements to Mapping Worksheet" button.  This way the Solution Lead does not need to worry about those rows.
3. Modified the 'IS_Impacted_Systems_List' worksheet to only have two standard "System Names" to choose from to either "** Not Applicable" or "** Business Process Only - NO IT Involvement Needed".</t>
  </si>
  <si>
    <t>1. Updated comments for columns on the "EPICS", "IS_Requirements Mapping", and "IS_Impacted_Systems_List" worksheets.
2. Modified the logic that loads the requirements information from the "EPICS" worksheet to the "IS_Requirements Mapping" worksheet to prefix any 'Business Identified Impacted Areas' information, copied to the 'Summary of Impacts' column in an effort to provide the Solution Lead with some helpful information, with "[AREAS THE BUSINESS THINKS MAY BE IMPACTED]:".
3. Modified the logic that creates the value noted in the "Description" of the JIRA Imports for Capabilities/EPICS/Stories to always include the "Contributors" and "IT Identified Impacted Areas" information and to conditionally include the "Notes", "Custom Information", and "Business Identified Impacted Areas" information.
4. Modified the logic that creates the "Description" of the JIRA Imports for the Capabilities/EPICS/Stories to only include the "Business Identified Impacted Areas" column information for the record if there are NO IT Identified Systems/Areas noted.</t>
  </si>
  <si>
    <t>Initial Production Release (02/06/2019)</t>
  </si>
  <si>
    <t>Not Applicable</t>
  </si>
  <si>
    <r>
      <t xml:space="preserve">Not Applicable - </t>
    </r>
    <r>
      <rPr>
        <b/>
        <i/>
        <sz val="11"/>
        <color theme="1"/>
        <rFont val="Calibri"/>
        <family val="2"/>
        <scheme val="minor"/>
      </rPr>
      <t>DO NOT REMOVE OR CHANGE THIS ROW</t>
    </r>
  </si>
  <si>
    <r>
      <t xml:space="preserve">No IT Impacts - Business Process impacts only - </t>
    </r>
    <r>
      <rPr>
        <b/>
        <i/>
        <sz val="11"/>
        <color theme="1"/>
        <rFont val="Calibri"/>
        <family val="2"/>
        <scheme val="minor"/>
      </rPr>
      <t>DO NOT REMOVE OR CHANGE THIS ROW</t>
    </r>
  </si>
  <si>
    <t>To be used when IT impacts are not applicable.  (i.e. NewSections as well as potentially Capabilities)</t>
  </si>
  <si>
    <t>Production Release v2 (05/09/2019)</t>
  </si>
  <si>
    <t>Business Process Only - NO IT Impacts Identified</t>
  </si>
  <si>
    <t>HLBR Workshop Deck</t>
  </si>
  <si>
    <t>1. Modified Labels creation for JIRA Imports to no longer add the WIDID as a prefix to labels captured on the "EPICS" worksheet.  This change was implemented per process improvement feedback that the desire is to not make labels unique to an initiative, but more generic and repetitive across projects/initiatives/areas.
2. Modified the 'Repeat Requirement' macro on the 'IS_Requirements Mapping' worksheet to only allow a line with Issue Type of: "Capability", "Epic", or "Story" to be repeated and to default the selected cell to be the "System Name" column on the new line to make it easier and more efficient for the Solution Lead to map an additional Impacted System for the requirement.
3. Added two new buttons to the "IS_Requirements Mapping" worksheet ("Move Row Up", "Move Row Down") that will move the selected row up or down.
4. Modified JIRA GADCR Creation logic to state "No &lt;GADCR Section&gt; were captured." instead of "No &lt;GADCR Section&gt; were captured during Initiation."
5. Modified the two defaulted "IS_Impacted_Systems_List" worksheet records from "** Not Applicable" to "Not Applicable" and "**Business Process Only - NO IT Involvement Identified" to "Business Process Only - NO IT Impacts Identified".
6. Modified the logic that checks that a record exists on both the "EPICS" and "IS_Requirements Mapping" worksheets to ignore any record that has an Issue Type of "NewSection".
7. Modified the "Load All Requirements to Mapping Worksheet" logic to no longer default the "System Name" value for a "Capability" issue type to "Not applicable" and to now require that a value be mapped by the Solution Lead for Capabilities.
8. Modified the "Repeat Requirement to Map an Additional System" logic to no longer allow a row to be duplicated when the System Name has been mapped to "Not Applicable" or "Business Process Only - NO IT Impacts Identified".</t>
  </si>
  <si>
    <r>
      <rPr>
        <b/>
        <sz val="11"/>
        <color theme="0"/>
        <rFont val="Calibri"/>
        <family val="2"/>
        <scheme val="minor"/>
      </rPr>
      <t>Release Date:</t>
    </r>
    <r>
      <rPr>
        <sz val="11"/>
        <color theme="0"/>
        <rFont val="Calibri"/>
        <family val="2"/>
        <scheme val="minor"/>
      </rPr>
      <t xml:space="preserve"> 06/20/2019</t>
    </r>
  </si>
  <si>
    <r>
      <rPr>
        <b/>
        <sz val="16"/>
        <color theme="0"/>
        <rFont val="Calibri"/>
        <family val="2"/>
        <scheme val="minor"/>
      </rPr>
      <t>Version:</t>
    </r>
    <r>
      <rPr>
        <sz val="16"/>
        <color theme="0"/>
        <rFont val="Calibri"/>
        <family val="2"/>
        <scheme val="minor"/>
      </rPr>
      <t xml:space="preserve"> 4.6.1</t>
    </r>
  </si>
  <si>
    <t>4.6.1</t>
  </si>
  <si>
    <t>Production Release v2.1 (06/20/2019)</t>
  </si>
  <si>
    <t>1. Corrected an issue with the Duplicate Validation checks for REQID on the "EPICS" worksheet.</t>
  </si>
  <si>
    <t>0038210 WV Foster Care 2020</t>
  </si>
  <si>
    <t>One Anthem - Medicaid New-Existing Markets Growth/01338 Pipeline-West Virginia Foster Care RFP</t>
  </si>
  <si>
    <t>Andrea Hartman</t>
  </si>
  <si>
    <t>Greg Smith; Jennifer Scalfaro</t>
  </si>
  <si>
    <t>West Virginia’s foster care population has continued to increase over the past several years due to the opioid epidemic facing the state, with 85% of cases involving substance abuse.  There is a significant need to better help those families in crisis and reduce the number of children removed from their home.  For those that have already been subjected to this event, the Department must implement a strategy to help better coordinate the care of those members and make sure they are receiving all of the necessary services available, in hopes that reunification may occur.   DHHR is looking to transition the WV Foster Care and Adoption Assistance population into a managed care or managed care-like environment.</t>
  </si>
  <si>
    <t>hartmnd</t>
  </si>
  <si>
    <r>
      <rPr>
        <b/>
        <sz val="11"/>
        <color theme="1"/>
        <rFont val="Calibri"/>
        <family val="2"/>
      </rPr>
      <t>*We must build standalone application with minimal connectivity:*</t>
    </r>
    <r>
      <rPr>
        <sz val="11"/>
        <color theme="1"/>
        <rFont val="Calibri"/>
        <family val="2"/>
      </rPr>
      <t xml:space="preserve">
* LCT (Living Complete Technologies) build and links to FACTS/IES/WV BMS/UniCare
* Hook to membership (LCT will need to get this information)
* Hook to provider
* Will need to go through Anthem’s portal
</t>
    </r>
  </si>
  <si>
    <r>
      <rPr>
        <b/>
        <sz val="11"/>
        <color theme="1"/>
        <rFont val="Calibri"/>
        <family val="2"/>
      </rPr>
      <t>*What are Socially Necessary Services:*</t>
    </r>
    <r>
      <rPr>
        <sz val="11"/>
        <color theme="1"/>
        <rFont val="Calibri"/>
        <family val="2"/>
      </rPr>
      <t xml:space="preserve">
* Interventions that are necessary to improve and preserve family relationships, tenure in the community and integrity of the family or social system.  
* SNS promote safety, permanency, and well-being and work in conjunction with concrete services such as mental health, drug treatment, etc., to improve the functioning of the adults in the home and therefore the life of a child.
</t>
    </r>
  </si>
  <si>
    <r>
      <rPr>
        <b/>
        <sz val="11"/>
        <color theme="1"/>
        <rFont val="Calibri"/>
        <family val="2"/>
      </rPr>
      <t>*This project will be split into 3 parts:*</t>
    </r>
    <r>
      <rPr>
        <sz val="11"/>
        <color theme="1"/>
        <rFont val="Calibri"/>
        <family val="2"/>
      </rPr>
      <t xml:space="preserve">
1-SNS (Socially Necessary Services) – build standalone application with minimal connectivity 
2-Youth RAP– Health Passport (single sign-on) – allow users to see children based on their association
3-Foundational – Integration into other Anthem systems
*This initiative will focus on the first part of this project during this first round of Initiation which is the Socially Necessary Services (SNS)*</t>
    </r>
  </si>
  <si>
    <r>
      <rPr>
        <b/>
        <sz val="11"/>
        <color theme="1"/>
        <rFont val="Calibri"/>
        <family val="2"/>
      </rPr>
      <t xml:space="preserve">*Those in SNS can be:* </t>
    </r>
    <r>
      <rPr>
        <sz val="11"/>
        <color theme="1"/>
        <rFont val="Calibri"/>
        <family val="2"/>
      </rPr>
      <t xml:space="preserve">
Those enrolled in Foster Care
Those not enrolled in our foster care
</t>
    </r>
  </si>
  <si>
    <t>In Scope: WV Medicaid Only</t>
  </si>
  <si>
    <t xml:space="preserve">Provider Contracts will include contracts with all currently enrolled providers under the State’s fee-for-service (FFS) Medicaid program and those providers contracted with the Bureau for Children and Families (BCF) for social services
</t>
  </si>
  <si>
    <t>Possible vendor procurement may be required</t>
  </si>
  <si>
    <t>Program will service Children/youth with an open CPS or YS case and their families/caregivers.  This could include their parents (foster or kinship)</t>
  </si>
  <si>
    <t>May need to add a Point of contact for Case Worker (lessons learned from previous projects) – it is sometimes hard to get in touch with them</t>
  </si>
  <si>
    <t xml:space="preserve"> Where will documents be viewable and available – keep this in mind as we go through the requirements</t>
  </si>
  <si>
    <t>No claims or billing will be required as part of this initiative</t>
  </si>
  <si>
    <t>As WGS Case/Group Install, we will need a new MBU for the WV Foster Care Program</t>
  </si>
  <si>
    <t>Product Build?</t>
  </si>
  <si>
    <t>As Care Management, we need to be able to receive and process referrals as provided by FACTS WV State system</t>
  </si>
  <si>
    <t>As Care Management, we need to be able to send referral approval/denial status back to FACTS WV State system</t>
  </si>
  <si>
    <t>As Enrollment, I need to be able to enroll members in the Foster Care program as provided on file/s from the State</t>
  </si>
  <si>
    <t>As Anthem, we need to be able to accept and store Individual Education Plans (IEP) from the schools</t>
  </si>
  <si>
    <t xml:space="preserve">As G&amp;A. we need to be able to handle WV Foster Care Program Grievance and Appeals for the WV Foster Care program as we do for other services </t>
  </si>
  <si>
    <t>Reporting/MBU</t>
  </si>
  <si>
    <t>As Anthem, we need to be able to accept and store monthly provider status/summaries sent from the provider/s of services</t>
  </si>
  <si>
    <t>Report Creation</t>
  </si>
  <si>
    <t>Report Transmission</t>
  </si>
  <si>
    <t>Care Compass; M360; P360</t>
  </si>
  <si>
    <t>Individual Education Plans</t>
  </si>
  <si>
    <t>Provider Status Summaries</t>
  </si>
  <si>
    <t>G&amp;A</t>
  </si>
  <si>
    <t>Case Worker Data</t>
  </si>
  <si>
    <t>Authorizations</t>
  </si>
  <si>
    <t>Outbound Referrals</t>
  </si>
  <si>
    <t>Inbound Referrals</t>
  </si>
  <si>
    <t>Product Build</t>
  </si>
  <si>
    <t>ID Cards</t>
  </si>
  <si>
    <t>Group Build</t>
  </si>
  <si>
    <t>A1</t>
  </si>
  <si>
    <t>A2</t>
  </si>
  <si>
    <t>A3</t>
  </si>
  <si>
    <t>A4</t>
  </si>
  <si>
    <t>A5</t>
  </si>
  <si>
    <t>A6</t>
  </si>
  <si>
    <t>A7</t>
  </si>
  <si>
    <t>A8</t>
  </si>
  <si>
    <t>A9</t>
  </si>
  <si>
    <t>A10</t>
  </si>
  <si>
    <t>A11</t>
  </si>
  <si>
    <t>A12</t>
  </si>
  <si>
    <t>A13</t>
  </si>
  <si>
    <t>A15</t>
  </si>
  <si>
    <t>A16</t>
  </si>
  <si>
    <t>As Anthem, we need to provide access to member portal so that member portal data can be access and viewed</t>
  </si>
  <si>
    <t>Member Portal Access</t>
  </si>
  <si>
    <t>Provider Portal Access</t>
  </si>
  <si>
    <t>As Anthem, we need to provide access to provider portal so that provider portal data can be access and viewed</t>
  </si>
  <si>
    <t>https://share.antheminc.com/sites/SEGov/Lists/Small%20Enhancement%20Request/DispForm.aspx?ID=50329</t>
  </si>
  <si>
    <t>https://share.antheminc.com/sites/SEGov/Initiation%20Project%20Docs/Forms/AllItems.aspx?RootFolder=%2Fsites%2FSEGov%2FInitiation%20Project%20Docs%2FOne%20Anthem%2FMedicaid%20New%2DExisting%20Markets%20Growth%2FWV%20Foster%20Care%202020&amp;FolderCTID=0x012000C9DAA2A2A1360F4BB3C8EE7D9F429AE7&amp;View=%7BD6395EBD%2D6F13%2D4D74%2DA17A%2DC4333FCA90D9%7D</t>
  </si>
  <si>
    <t xml:space="preserve">https://share.antheminc.com/sites/SEGov/Initiation%20Project%20Docs/One%20Anthem/Medicaid%20New-Existing%20Markets%20Growth/WV%20Foster%20Care%202020/WV%20Foster%20Care%202020%20-%20Kickoff.pptx </t>
  </si>
  <si>
    <t>WV Foster Care 2020 - Kickoff</t>
  </si>
  <si>
    <t>SNS</t>
  </si>
  <si>
    <t>Socially Necessary Services</t>
  </si>
  <si>
    <t>LCT</t>
  </si>
  <si>
    <t>Living Complete Technologies</t>
  </si>
  <si>
    <t>BCF</t>
  </si>
  <si>
    <t>Bureau for Children and Families</t>
  </si>
  <si>
    <t>FFS</t>
  </si>
  <si>
    <t>Fee-for-service</t>
  </si>
  <si>
    <t>FACTS</t>
  </si>
  <si>
    <t>WV State System</t>
  </si>
  <si>
    <t>IEP</t>
  </si>
  <si>
    <t xml:space="preserve"> Individual Education Plans</t>
  </si>
  <si>
    <t>As Provider, I need to be able to receive and contract providers as provided on file/s from the State</t>
  </si>
  <si>
    <t xml:space="preserve">*Operational Considerations:*
* Member outreach and education
* Provider outreach and education
* Member communications
</t>
  </si>
  <si>
    <t>As WGS Group Install, we will need to build a new groups for the WV Foster Care Program</t>
  </si>
  <si>
    <t>Case Build</t>
  </si>
  <si>
    <t>Assume no ID card impacts?</t>
  </si>
  <si>
    <t>Record Converted to Assumption on 8/30/2019</t>
  </si>
  <si>
    <t>As Care Management, we need to be able to accept additional information from the Case Workers so we can incorporate into our Care Management for existing members or members that become a member in the future</t>
  </si>
  <si>
    <t xml:space="preserve">As Care Management, we need to be able to notify the provider when the authorized services have ended or been modified </t>
  </si>
  <si>
    <t>Authorization Modifications</t>
  </si>
  <si>
    <t>Due by 10th day of each month</t>
  </si>
  <si>
    <t xml:space="preserve">come in a variety of formats, could be an image or fax </t>
  </si>
  <si>
    <t xml:space="preserve">need to confirm if required. May be a nice to have and may be removed later if not needed. </t>
  </si>
  <si>
    <t>As Anthem, we must be able to display data (what data) on M360, P360, and CareCompass by feeding the data to Hiebus</t>
  </si>
  <si>
    <t xml:space="preserve">draft contract has details </t>
  </si>
  <si>
    <t>no new mbu will be created</t>
  </si>
  <si>
    <t xml:space="preserve">As Anthem Data Analytics, I need to ensure that we can crosswalk FACTS case id to our internal indicator/s so that data can be traced to our members </t>
  </si>
  <si>
    <t>Removed CES from BRD on 8/30/2019</t>
  </si>
  <si>
    <t>MBU</t>
  </si>
  <si>
    <t>As WGS Case Install, we will need to build a new case for the</t>
  </si>
  <si>
    <t>A</t>
  </si>
  <si>
    <t>Build and Implement SNS (Socially Necessary Services) for WV Foster Care Program</t>
  </si>
  <si>
    <t>Same membership as the WV foster care program</t>
  </si>
  <si>
    <t>No claims to pay for SNS</t>
  </si>
  <si>
    <t>No outbound payment of any kind</t>
  </si>
  <si>
    <t>Anthem will not get paid separately for SNS, it is just another service in the foster care program</t>
  </si>
  <si>
    <t>Anthem will handle grievance and appeals on SNS, just like any other service</t>
  </si>
  <si>
    <t>Needs to feeding data to Hiebus to be displayed on Member360 and Patient 360 in the LPR (longitudinal patient record) for viewing. Once in Hiebus it is also accessible to the nurses via CareCompass</t>
  </si>
  <si>
    <t>Service providers are atypical providers</t>
  </si>
  <si>
    <t>Delivery time frame, needs to be in place by 1/1/2019</t>
  </si>
  <si>
    <t>Provider network is owned (contracted and credentialed) by the state and fed to Anthem</t>
  </si>
  <si>
    <t>As Anthem, we must be able to extract data so that we can produce monthly reporting for the SNS</t>
  </si>
  <si>
    <t>As Anthem, we need to be able to send monthly reporting to the State for areas they believe additional SNS providers should be permitted to enroll and address gaps in care</t>
  </si>
  <si>
    <t>Removed CES from BRD on 10/1/2019</t>
  </si>
  <si>
    <t>This is not a change to ACMP.  Will take place in LCT.  Care Managers will need to have access to LCT to view.  ACMP will either need an alert or an email process to alert the care manager to go to LCT to udpate or view</t>
  </si>
  <si>
    <t>A14</t>
  </si>
  <si>
    <t>Load SNS from Youth Rap</t>
  </si>
  <si>
    <t>As Anthem, I need the ability to load SNS authorization activity into Youth Rap</t>
  </si>
  <si>
    <t>DAY 2</t>
  </si>
  <si>
    <t>SNS Included in Youth Rap</t>
  </si>
  <si>
    <t>As member/provider/case worker etc, I need the ability to view SNS authorization activity in Youth Rap</t>
  </si>
  <si>
    <t>Provider File</t>
  </si>
  <si>
    <t>As Anthem, I need the ability to load provider demograhpics into LCT.</t>
  </si>
  <si>
    <t>Day 1</t>
  </si>
  <si>
    <t>As Care Management, we need to be able to send authorization within 24hours to the servicing provider (could include Vendor, Parent, Caregiver) for SNS members, and communicate back to FACTS to have the referral updated with approved or denied</t>
  </si>
  <si>
    <t>Manuel Arisso</t>
  </si>
  <si>
    <r>
      <rPr>
        <b/>
        <sz val="11"/>
        <color theme="1"/>
        <rFont val="Calibri"/>
        <family val="2"/>
      </rPr>
      <t>*The following services will be offered (Build by LCT):*</t>
    </r>
    <r>
      <rPr>
        <sz val="11"/>
        <color theme="1"/>
        <rFont val="Calibri"/>
        <family val="2"/>
      </rPr>
      <t xml:space="preserve">
</t>
    </r>
    <r>
      <rPr>
        <sz val="11"/>
        <color rgb="FFFF0000"/>
        <rFont val="Calibri"/>
        <family val="2"/>
      </rPr>
      <t xml:space="preserve">* Needs Assessment  
* Case Management </t>
    </r>
    <r>
      <rPr>
        <sz val="11"/>
        <color theme="1"/>
        <rFont val="Calibri"/>
        <family val="2"/>
      </rPr>
      <t xml:space="preserve"> 
* Adult Life Skills
* Parenting (General and Individualized) 
</t>
    </r>
    <r>
      <rPr>
        <sz val="11"/>
        <color rgb="FFFF0000"/>
        <rFont val="Calibri"/>
        <family val="2"/>
      </rPr>
      <t>* Safety Services</t>
    </r>
    <r>
      <rPr>
        <sz val="11"/>
        <color theme="1"/>
        <rFont val="Calibri"/>
        <family val="2"/>
      </rPr>
      <t xml:space="preserve">
</t>
    </r>
    <r>
      <rPr>
        <sz val="11"/>
        <color rgb="FFFF0000"/>
        <rFont val="Calibri"/>
        <family val="2"/>
      </rPr>
      <t xml:space="preserve">* Respite </t>
    </r>
    <r>
      <rPr>
        <sz val="11"/>
        <color theme="1"/>
        <rFont val="Calibri"/>
        <family val="2"/>
      </rPr>
      <t xml:space="preserve">  
* CAPS Assessment and CAPS Case Management 
* Transportation   
* Home Maker Services 
* Supervised Visitation
* MDT Attendance
* Home Study
* Crisis Response
* Connection Visit
* Tutoring
* Travel (Agency, Family, Foster), Lodging, Meals
* Intensive Therapeutic Recreation</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</si>
</sst>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00000"/>
    <numFmt numFmtId="165" formatCode="0.0"/>
  </numFmts>
  <fonts count="72" x14ac:knownFonts="1">
    <font>
      <sz val="11"/>
      <color theme="1"/>
      <name val="Calibri"/>
      <family val="2"/>
      <scheme val="minor"/>
    </font>
    <font>
      <u/>
      <sz val="11"/>
      <color theme="10"/>
      <name val="Calibri"/>
      <family val="2"/>
    </font>
    <font>
      <b/>
      <sz val="11"/>
      <color theme="1"/>
      <name val="Calibri"/>
      <family val="2"/>
      <scheme val="minor"/>
    </font>
    <font>
      <b/>
      <sz val="24"/>
      <color theme="1"/>
      <name val="Calibri"/>
      <family val="2"/>
      <scheme val="minor"/>
    </font>
    <font>
      <sz val="11"/>
      <color theme="1"/>
      <name val="Calibri"/>
      <family val="2"/>
    </font>
    <font>
      <sz val="11"/>
      <name val="Calibri"/>
      <family val="2"/>
      <scheme val="minor"/>
    </font>
    <font>
      <u/>
      <sz val="11"/>
      <color theme="10"/>
      <name val="Calibri"/>
      <family val="2"/>
      <scheme val="minor"/>
    </font>
    <font>
      <b/>
      <sz val="14"/>
      <color theme="1"/>
      <name val="Calibri"/>
      <family val="2"/>
      <scheme val="minor"/>
    </font>
    <font>
      <i/>
      <u/>
      <sz val="12"/>
      <name val="Calibri"/>
      <family val="2"/>
    </font>
    <font>
      <b/>
      <sz val="12"/>
      <color theme="1"/>
      <name val="Calibri"/>
      <family val="2"/>
      <scheme val="minor"/>
    </font>
    <font>
      <sz val="12"/>
      <color theme="1"/>
      <name val="Calibri"/>
      <family val="2"/>
      <scheme val="minor"/>
    </font>
    <font>
      <sz val="9"/>
      <color theme="1"/>
      <name val="Calibri"/>
      <family val="2"/>
      <scheme val="minor"/>
    </font>
    <font>
      <b/>
      <sz val="11"/>
      <name val="Calibri"/>
      <family val="2"/>
      <scheme val="minor"/>
    </font>
    <font>
      <sz val="11"/>
      <color theme="1"/>
      <name val="Courier New"/>
      <family val="3"/>
    </font>
    <font>
      <sz val="8"/>
      <name val="Arial"/>
      <family val="2"/>
    </font>
    <font>
      <sz val="9"/>
      <color indexed="81"/>
      <name val="Tahoma"/>
      <family val="2"/>
    </font>
    <font>
      <b/>
      <sz val="9"/>
      <color indexed="81"/>
      <name val="Tahoma"/>
      <family val="2"/>
    </font>
    <font>
      <sz val="10"/>
      <color theme="1"/>
      <name val="Calibri"/>
      <family val="2"/>
      <scheme val="minor"/>
    </font>
    <font>
      <b/>
      <sz val="10"/>
      <color theme="0"/>
      <name val="Calibri"/>
      <family val="2"/>
      <scheme val="minor"/>
    </font>
    <font>
      <b/>
      <sz val="10"/>
      <color rgb="FFFFFF00"/>
      <name val="Calibri"/>
      <family val="2"/>
      <scheme val="minor"/>
    </font>
    <font>
      <b/>
      <sz val="10"/>
      <name val="Calibri"/>
      <family val="2"/>
      <scheme val="minor"/>
    </font>
    <font>
      <b/>
      <sz val="10"/>
      <color theme="1"/>
      <name val="Calibri"/>
      <family val="2"/>
      <scheme val="minor"/>
    </font>
    <font>
      <i/>
      <sz val="11"/>
      <name val="Calibri"/>
      <family val="2"/>
      <scheme val="minor"/>
    </font>
    <font>
      <u/>
      <sz val="16"/>
      <color theme="10"/>
      <name val="Calibri"/>
      <family val="2"/>
      <scheme val="minor"/>
    </font>
    <font>
      <b/>
      <sz val="12"/>
      <color rgb="FFFF0000"/>
      <name val="Calibri"/>
      <family val="2"/>
      <scheme val="minor"/>
    </font>
    <font>
      <b/>
      <sz val="14"/>
      <name val="Calibri"/>
      <family val="2"/>
      <scheme val="minor"/>
    </font>
    <font>
      <b/>
      <sz val="9"/>
      <color theme="0"/>
      <name val="Calibri"/>
      <family val="2"/>
      <scheme val="minor"/>
    </font>
    <font>
      <b/>
      <sz val="24"/>
      <name val="Arial"/>
      <family val="2"/>
    </font>
    <font>
      <b/>
      <i/>
      <sz val="9"/>
      <color rgb="FFFF0000"/>
      <name val="Calibri"/>
      <family val="2"/>
      <scheme val="minor"/>
    </font>
    <font>
      <b/>
      <sz val="10"/>
      <color rgb="FFFF0000"/>
      <name val="Calibri"/>
      <family val="2"/>
      <scheme val="minor"/>
    </font>
    <font>
      <sz val="9"/>
      <color theme="1"/>
      <name val="Corbel"/>
      <family val="2"/>
    </font>
    <font>
      <sz val="8"/>
      <color rgb="FF000000"/>
      <name val="Calibri"/>
      <family val="2"/>
    </font>
    <font>
      <sz val="11"/>
      <color rgb="FF000000"/>
      <name val="Calibri"/>
      <family val="2"/>
    </font>
    <font>
      <sz val="9"/>
      <color rgb="FF000000"/>
      <name val="Calibri"/>
      <family val="2"/>
    </font>
    <font>
      <b/>
      <i/>
      <sz val="11"/>
      <color theme="1"/>
      <name val="Calibri"/>
      <family val="2"/>
      <scheme val="minor"/>
    </font>
    <font>
      <b/>
      <i/>
      <sz val="14"/>
      <color theme="1"/>
      <name val="Calibri"/>
      <family val="2"/>
      <scheme val="minor"/>
    </font>
    <font>
      <b/>
      <sz val="12"/>
      <color theme="0"/>
      <name val="Calibri"/>
      <family val="2"/>
      <scheme val="minor"/>
    </font>
    <font>
      <b/>
      <i/>
      <sz val="11"/>
      <name val="Calibri"/>
      <family val="2"/>
      <scheme val="minor"/>
    </font>
    <font>
      <b/>
      <i/>
      <sz val="10"/>
      <name val="Calibri"/>
      <family val="2"/>
      <scheme val="minor"/>
    </font>
    <font>
      <b/>
      <i/>
      <sz val="9"/>
      <color theme="1"/>
      <name val="Calibri"/>
      <family val="2"/>
      <scheme val="minor"/>
    </font>
    <font>
      <b/>
      <sz val="11"/>
      <color theme="0"/>
      <name val="Calibri"/>
      <family val="2"/>
      <scheme val="minor"/>
    </font>
    <font>
      <b/>
      <sz val="9"/>
      <color rgb="FFC00000"/>
      <name val="Calibri"/>
      <family val="2"/>
      <scheme val="minor"/>
    </font>
    <font>
      <u/>
      <sz val="10"/>
      <color theme="10"/>
      <name val="Calibri"/>
      <family val="2"/>
    </font>
    <font>
      <sz val="18"/>
      <color theme="0"/>
      <name val="Calibri"/>
      <family val="2"/>
      <scheme val="minor"/>
    </font>
    <font>
      <b/>
      <sz val="18"/>
      <color theme="0"/>
      <name val="Calibri"/>
      <family val="2"/>
      <scheme val="minor"/>
    </font>
    <font>
      <sz val="14"/>
      <color theme="1"/>
      <name val="Calibri"/>
      <family val="2"/>
      <scheme val="minor"/>
    </font>
    <font>
      <i/>
      <sz val="9"/>
      <color theme="1"/>
      <name val="Calibri"/>
      <family val="2"/>
      <scheme val="minor"/>
    </font>
    <font>
      <sz val="11"/>
      <color theme="0"/>
      <name val="Calibri"/>
      <family val="2"/>
      <scheme val="minor"/>
    </font>
    <font>
      <sz val="11"/>
      <color rgb="FFFF0000"/>
      <name val="Calibri"/>
      <family val="2"/>
      <scheme val="minor"/>
    </font>
    <font>
      <b/>
      <i/>
      <sz val="11"/>
      <color theme="3"/>
      <name val="Calibri"/>
      <family val="2"/>
      <scheme val="minor"/>
    </font>
    <font>
      <u/>
      <sz val="11"/>
      <name val="Calibri"/>
      <family val="2"/>
      <scheme val="minor"/>
    </font>
    <font>
      <strike/>
      <sz val="11"/>
      <name val="Calibri"/>
      <family val="2"/>
      <scheme val="minor"/>
    </font>
    <font>
      <b/>
      <i/>
      <sz val="12"/>
      <color theme="1"/>
      <name val="Calibri"/>
      <family val="2"/>
      <scheme val="minor"/>
    </font>
    <font>
      <b/>
      <sz val="10"/>
      <color theme="5" tint="-0.249977111117893"/>
      <name val="Calibri"/>
      <family val="2"/>
      <scheme val="minor"/>
    </font>
    <font>
      <i/>
      <sz val="9"/>
      <color theme="1"/>
      <name val="Corbel"/>
      <family val="2"/>
    </font>
    <font>
      <sz val="10"/>
      <color rgb="FF000000"/>
      <name val="Calibri"/>
      <family val="2"/>
    </font>
    <font>
      <sz val="16"/>
      <color theme="0"/>
      <name val="Calibri"/>
      <family val="2"/>
      <scheme val="minor"/>
    </font>
    <font>
      <b/>
      <sz val="16"/>
      <color theme="0"/>
      <name val="Calibri"/>
      <family val="2"/>
      <scheme val="minor"/>
    </font>
    <font>
      <b/>
      <sz val="22"/>
      <color theme="0"/>
      <name val="Calibri"/>
      <family val="2"/>
      <scheme val="minor"/>
    </font>
    <font>
      <b/>
      <i/>
      <sz val="12"/>
      <color rgb="FFFF0000"/>
      <name val="Calibri"/>
      <family val="2"/>
      <scheme val="minor"/>
    </font>
    <font>
      <b/>
      <sz val="22"/>
      <color rgb="FF000000"/>
      <name val="Calibri"/>
      <family val="2"/>
    </font>
    <font>
      <b/>
      <sz val="9"/>
      <color theme="0"/>
      <name val="Calibri"/>
      <family val="2"/>
    </font>
    <font>
      <b/>
      <u/>
      <sz val="11"/>
      <color theme="10"/>
      <name val="Calibri"/>
      <family val="2"/>
    </font>
    <font>
      <b/>
      <sz val="9"/>
      <color theme="5" tint="-0.499984740745262"/>
      <name val="Calibri"/>
      <family val="2"/>
    </font>
    <font>
      <u/>
      <sz val="16"/>
      <color theme="0"/>
      <name val="Calibri"/>
      <family val="2"/>
      <scheme val="minor"/>
    </font>
    <font>
      <sz val="12"/>
      <color theme="0"/>
      <name val="Calibri"/>
      <family val="2"/>
      <scheme val="minor"/>
    </font>
    <font>
      <i/>
      <sz val="13"/>
      <color theme="0"/>
      <name val="Calibri"/>
      <family val="2"/>
      <scheme val="minor"/>
    </font>
    <font>
      <i/>
      <u/>
      <sz val="13"/>
      <color theme="0"/>
      <name val="Calibri"/>
      <family val="2"/>
      <scheme val="minor"/>
    </font>
    <font>
      <b/>
      <i/>
      <sz val="10"/>
      <color theme="1"/>
      <name val="Calibri"/>
      <family val="2"/>
      <scheme val="minor"/>
    </font>
    <font>
      <b/>
      <sz val="11"/>
      <color theme="1"/>
      <name val="Calibri"/>
      <family val="2"/>
    </font>
    <font>
      <sz val="11"/>
      <color rgb="FFFF0000"/>
      <name val="Calibri"/>
      <family val="2"/>
    </font>
    <font>
      <sz val="10"/>
      <color rgb="FFFF0000"/>
      <name val="Calibri"/>
      <family val="2"/>
      <scheme val="minor"/>
    </font>
  </fonts>
  <fills count="24">
    <fill>
      <patternFill patternType="none"/>
    </fill>
    <fill>
      <patternFill patternType="gray125"/>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00B050"/>
        <bgColor indexed="64"/>
      </patternFill>
    </fill>
    <fill>
      <patternFill patternType="solid">
        <fgColor theme="3" tint="0.59999389629810485"/>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0"/>
        <bgColor indexed="64"/>
      </patternFill>
    </fill>
    <fill>
      <patternFill patternType="solid">
        <fgColor theme="3" tint="0.79998168889431442"/>
        <bgColor indexed="64"/>
      </patternFill>
    </fill>
    <fill>
      <patternFill patternType="solid">
        <fgColor theme="9"/>
        <bgColor theme="4"/>
      </patternFill>
    </fill>
    <fill>
      <patternFill patternType="solid">
        <fgColor theme="9"/>
        <bgColor indexed="64"/>
      </patternFill>
    </fill>
    <fill>
      <patternFill patternType="solid">
        <fgColor theme="5" tint="0.79998168889431442"/>
        <bgColor indexed="64"/>
      </patternFill>
    </fill>
    <fill>
      <patternFill patternType="solid">
        <fgColor theme="3"/>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1" tint="0.499984740745262"/>
        <bgColor indexed="64"/>
      </patternFill>
    </fill>
  </fills>
  <borders count="4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indexed="64"/>
      </bottom>
      <diagonal/>
    </border>
    <border>
      <left style="thin">
        <color auto="1"/>
      </left>
      <right style="medium">
        <color indexed="64"/>
      </right>
      <top/>
      <bottom style="thin">
        <color auto="1"/>
      </bottom>
      <diagonal/>
    </border>
    <border>
      <left style="thin">
        <color auto="1"/>
      </left>
      <right style="medium">
        <color auto="1"/>
      </right>
      <top style="thin">
        <color auto="1"/>
      </top>
      <bottom/>
      <diagonal/>
    </border>
    <border>
      <left style="medium">
        <color indexed="64"/>
      </left>
      <right style="thin">
        <color auto="1"/>
      </right>
      <top style="thin">
        <color auto="1"/>
      </top>
      <bottom/>
      <diagonal/>
    </border>
    <border>
      <left style="thin">
        <color auto="1"/>
      </left>
      <right style="medium">
        <color indexed="64"/>
      </right>
      <top style="thin">
        <color auto="1"/>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thin">
        <color indexed="64"/>
      </bottom>
      <diagonal/>
    </border>
    <border>
      <left style="thin">
        <color auto="1"/>
      </left>
      <right/>
      <top style="thin">
        <color auto="1"/>
      </top>
      <bottom style="thin">
        <color indexed="64"/>
      </bottom>
      <diagonal/>
    </border>
    <border>
      <left/>
      <right style="thin">
        <color indexed="64"/>
      </right>
      <top/>
      <bottom/>
      <diagonal/>
    </border>
    <border>
      <left/>
      <right/>
      <top style="thin">
        <color indexed="64"/>
      </top>
      <bottom/>
      <diagonal/>
    </border>
    <border>
      <left/>
      <right/>
      <top style="medium">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auto="1"/>
      </right>
      <top/>
      <bottom/>
      <diagonal/>
    </border>
    <border>
      <left style="thin">
        <color auto="1"/>
      </left>
      <right style="medium">
        <color auto="1"/>
      </right>
      <top/>
      <bottom/>
      <diagonal/>
    </border>
    <border>
      <left style="medium">
        <color indexed="64"/>
      </left>
      <right style="thin">
        <color auto="1"/>
      </right>
      <top/>
      <bottom style="thin">
        <color auto="1"/>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auto="1"/>
      </right>
      <top/>
      <bottom style="thin">
        <color auto="1"/>
      </bottom>
      <diagonal/>
    </border>
    <border>
      <left style="thin">
        <color auto="1"/>
      </left>
      <right/>
      <top/>
      <bottom style="thin">
        <color auto="1"/>
      </bottom>
      <diagonal/>
    </border>
    <border>
      <left style="thin">
        <color indexed="64"/>
      </left>
      <right/>
      <top/>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medium">
        <color indexed="64"/>
      </left>
      <right style="medium">
        <color indexed="64"/>
      </right>
      <top style="medium">
        <color indexed="64"/>
      </top>
      <bottom/>
      <diagonal/>
    </border>
  </borders>
  <cellStyleXfs count="3">
    <xf numFmtId="0" fontId="0" fillId="0" borderId="0"/>
    <xf numFmtId="0" fontId="1" fillId="0" borderId="0" applyNumberFormat="0" applyFill="0" applyBorder="0" applyAlignment="0" applyProtection="0">
      <alignment vertical="top"/>
      <protection locked="0"/>
    </xf>
    <xf numFmtId="0" fontId="14" fillId="0" borderId="0"/>
  </cellStyleXfs>
  <cellXfs count="281">
    <xf numFmtId="0" fontId="0" fillId="0" borderId="0" xfId="0"/>
    <xf numFmtId="0" fontId="2" fillId="0" borderId="0" xfId="0" applyFont="1"/>
    <xf numFmtId="0" fontId="0" fillId="0" borderId="0" xfId="0" applyBorder="1" applyAlignment="1">
      <alignment wrapText="1"/>
    </xf>
    <xf numFmtId="0" fontId="3" fillId="0" borderId="0" xfId="0" applyFont="1"/>
    <xf numFmtId="0" fontId="0" fillId="0" borderId="0" xfId="0" applyFont="1" applyProtection="1"/>
    <xf numFmtId="0" fontId="0" fillId="0" borderId="0" xfId="0" applyAlignment="1">
      <alignment wrapText="1"/>
    </xf>
    <xf numFmtId="0" fontId="0" fillId="0" borderId="0" xfId="0" applyFont="1" applyAlignment="1">
      <alignment wrapText="1"/>
    </xf>
    <xf numFmtId="0" fontId="0" fillId="4" borderId="10" xfId="0" applyFill="1" applyBorder="1" applyAlignment="1">
      <alignment horizontal="left" vertical="top" wrapText="1"/>
    </xf>
    <xf numFmtId="0" fontId="8" fillId="4" borderId="11" xfId="1" applyFont="1" applyFill="1" applyBorder="1" applyAlignment="1" applyProtection="1">
      <alignment horizontal="left" vertical="top" wrapText="1"/>
    </xf>
    <xf numFmtId="0" fontId="0" fillId="3" borderId="10" xfId="0" applyFill="1" applyBorder="1" applyAlignment="1">
      <alignment horizontal="left" vertical="top" wrapText="1"/>
    </xf>
    <xf numFmtId="0" fontId="0" fillId="0" borderId="0" xfId="0"/>
    <xf numFmtId="0" fontId="0" fillId="0" borderId="0" xfId="0" applyFont="1" applyFill="1" applyProtection="1"/>
    <xf numFmtId="0" fontId="2" fillId="2" borderId="1" xfId="0" applyFont="1" applyFill="1" applyBorder="1" applyAlignment="1">
      <alignment horizontal="center" vertical="top" wrapText="1"/>
    </xf>
    <xf numFmtId="164" fontId="0" fillId="0" borderId="0" xfId="0" applyNumberFormat="1" applyBorder="1" applyAlignment="1">
      <alignment wrapText="1"/>
    </xf>
    <xf numFmtId="2" fontId="12" fillId="2" borderId="1" xfId="0" applyNumberFormat="1" applyFont="1" applyFill="1" applyBorder="1" applyAlignment="1">
      <alignment horizontal="center" vertical="top" wrapText="1"/>
    </xf>
    <xf numFmtId="0" fontId="2" fillId="0" borderId="0" xfId="0" applyFont="1" applyBorder="1" applyAlignment="1">
      <alignment wrapText="1"/>
    </xf>
    <xf numFmtId="0" fontId="1" fillId="4" borderId="11" xfId="1" applyFill="1" applyBorder="1" applyAlignment="1" applyProtection="1">
      <alignment horizontal="left" vertical="top" wrapText="1"/>
    </xf>
    <xf numFmtId="0" fontId="0" fillId="4" borderId="16" xfId="0" applyFill="1" applyBorder="1"/>
    <xf numFmtId="0" fontId="0" fillId="10" borderId="16" xfId="0" applyFill="1" applyBorder="1"/>
    <xf numFmtId="0" fontId="12" fillId="2" borderId="1" xfId="0" applyFont="1" applyFill="1" applyBorder="1" applyAlignment="1">
      <alignment horizontal="center" vertical="top" wrapText="1"/>
    </xf>
    <xf numFmtId="0" fontId="0" fillId="4" borderId="16" xfId="0" applyFill="1" applyBorder="1" applyAlignment="1">
      <alignment wrapText="1"/>
    </xf>
    <xf numFmtId="0" fontId="0" fillId="10" borderId="16" xfId="0" applyFill="1" applyBorder="1" applyAlignment="1">
      <alignment wrapText="1"/>
    </xf>
    <xf numFmtId="0" fontId="0" fillId="0" borderId="0" xfId="0" applyAlignment="1">
      <alignment vertical="top" wrapText="1"/>
    </xf>
    <xf numFmtId="0" fontId="0" fillId="0" borderId="0" xfId="0" applyNumberFormat="1" applyAlignment="1">
      <alignment vertical="top" wrapText="1"/>
    </xf>
    <xf numFmtId="0" fontId="0" fillId="0" borderId="0" xfId="0" applyFont="1" applyAlignment="1" applyProtection="1">
      <alignment horizontal="left" vertical="top" wrapText="1"/>
      <protection locked="0"/>
    </xf>
    <xf numFmtId="0" fontId="0" fillId="0" borderId="0" xfId="0" applyAlignment="1" applyProtection="1">
      <alignment vertical="top" wrapText="1"/>
      <protection locked="0"/>
    </xf>
    <xf numFmtId="0" fontId="0" fillId="0" borderId="0" xfId="0" applyFont="1" applyAlignment="1" applyProtection="1">
      <alignment vertical="top" wrapText="1"/>
      <protection locked="0"/>
    </xf>
    <xf numFmtId="2" fontId="2" fillId="2" borderId="1" xfId="0" applyNumberFormat="1" applyFont="1" applyFill="1" applyBorder="1" applyAlignment="1">
      <alignment horizontal="center" vertical="top" wrapText="1"/>
    </xf>
    <xf numFmtId="0" fontId="2" fillId="2" borderId="0" xfId="0" applyFont="1" applyFill="1" applyBorder="1" applyAlignment="1">
      <alignment wrapText="1"/>
    </xf>
    <xf numFmtId="164" fontId="2" fillId="2" borderId="0" xfId="0" applyNumberFormat="1" applyFont="1" applyFill="1" applyBorder="1" applyAlignment="1">
      <alignment wrapText="1"/>
    </xf>
    <xf numFmtId="0" fontId="0" fillId="0" borderId="0" xfId="0" applyFont="1" applyBorder="1" applyAlignment="1" applyProtection="1">
      <alignment wrapText="1"/>
      <protection locked="0"/>
    </xf>
    <xf numFmtId="14" fontId="0" fillId="0" borderId="0" xfId="0" applyNumberFormat="1" applyFont="1" applyAlignment="1" applyProtection="1">
      <protection locked="0"/>
    </xf>
    <xf numFmtId="0" fontId="0" fillId="0" borderId="0" xfId="0" applyFont="1" applyAlignment="1" applyProtection="1">
      <protection locked="0"/>
    </xf>
    <xf numFmtId="0" fontId="0" fillId="0" borderId="15" xfId="0" applyFont="1" applyFill="1" applyBorder="1" applyAlignment="1" applyProtection="1">
      <alignment horizontal="left" vertical="top" wrapText="1"/>
      <protection locked="0"/>
    </xf>
    <xf numFmtId="0" fontId="0" fillId="0" borderId="15" xfId="0" applyFont="1" applyFill="1" applyBorder="1" applyAlignment="1" applyProtection="1">
      <alignment horizontal="left" vertical="top"/>
    </xf>
    <xf numFmtId="0" fontId="17" fillId="0" borderId="0" xfId="0" applyFont="1" applyAlignment="1">
      <alignment horizontal="left" vertical="top" wrapText="1"/>
    </xf>
    <xf numFmtId="0" fontId="17" fillId="0" borderId="0" xfId="0" applyFont="1" applyBorder="1" applyAlignment="1">
      <alignment horizontal="left" vertical="top" wrapText="1"/>
    </xf>
    <xf numFmtId="0" fontId="17" fillId="0" borderId="0" xfId="0" applyFont="1" applyFill="1" applyAlignment="1">
      <alignment horizontal="left" vertical="top" wrapText="1"/>
    </xf>
    <xf numFmtId="0" fontId="21" fillId="5" borderId="0" xfId="0" applyFont="1" applyFill="1" applyAlignment="1">
      <alignment horizontal="left" vertical="top" wrapText="1"/>
    </xf>
    <xf numFmtId="0" fontId="21" fillId="5" borderId="0" xfId="0" applyFont="1" applyFill="1" applyBorder="1" applyAlignment="1">
      <alignment horizontal="left" vertical="top" wrapText="1"/>
    </xf>
    <xf numFmtId="0" fontId="2" fillId="9" borderId="16" xfId="0" applyFont="1" applyFill="1" applyBorder="1"/>
    <xf numFmtId="0" fontId="2" fillId="9" borderId="16" xfId="0" applyFont="1" applyFill="1" applyBorder="1" applyAlignment="1">
      <alignment wrapText="1"/>
    </xf>
    <xf numFmtId="0" fontId="2" fillId="6" borderId="15" xfId="0" applyNumberFormat="1" applyFont="1" applyFill="1" applyBorder="1" applyAlignment="1" applyProtection="1">
      <alignment horizontal="center" vertical="top" wrapText="1"/>
    </xf>
    <xf numFmtId="0" fontId="2" fillId="6" borderId="15" xfId="0" applyFont="1" applyFill="1" applyBorder="1" applyAlignment="1" applyProtection="1">
      <alignment horizontal="center" vertical="top" wrapText="1"/>
      <protection locked="0"/>
    </xf>
    <xf numFmtId="0" fontId="0" fillId="0" borderId="0" xfId="0" applyAlignment="1" applyProtection="1">
      <alignment horizontal="center" vertical="top" wrapText="1"/>
      <protection locked="0"/>
    </xf>
    <xf numFmtId="0" fontId="0" fillId="0" borderId="0" xfId="0" applyFont="1" applyAlignment="1" applyProtection="1">
      <alignment horizontal="center" vertical="top" wrapText="1"/>
      <protection locked="0"/>
    </xf>
    <xf numFmtId="0" fontId="0" fillId="0" borderId="0" xfId="0" applyFont="1" applyBorder="1" applyAlignment="1" applyProtection="1">
      <alignment horizontal="center" vertical="top" wrapText="1"/>
    </xf>
    <xf numFmtId="0" fontId="0" fillId="0" borderId="0" xfId="0" applyFont="1" applyBorder="1" applyAlignment="1" applyProtection="1">
      <alignment horizontal="left" vertical="top" wrapText="1"/>
    </xf>
    <xf numFmtId="0" fontId="0" fillId="0" borderId="0" xfId="0" applyFont="1" applyAlignment="1">
      <alignment horizontal="left" vertical="top" wrapText="1"/>
    </xf>
    <xf numFmtId="49" fontId="0" fillId="0" borderId="0" xfId="0" applyNumberFormat="1" applyFont="1" applyBorder="1" applyAlignment="1" applyProtection="1">
      <alignment horizontal="left" vertical="top" wrapText="1"/>
      <protection locked="0"/>
    </xf>
    <xf numFmtId="2" fontId="17" fillId="0" borderId="0" xfId="0" applyNumberFormat="1" applyFont="1" applyBorder="1" applyAlignment="1" applyProtection="1">
      <alignment horizontal="left" vertical="top" wrapText="1"/>
      <protection locked="0"/>
    </xf>
    <xf numFmtId="49" fontId="12" fillId="2" borderId="1" xfId="0" applyNumberFormat="1" applyFont="1" applyFill="1" applyBorder="1" applyAlignment="1">
      <alignment horizontal="center" vertical="top" wrapText="1"/>
    </xf>
    <xf numFmtId="49" fontId="0" fillId="0" borderId="0" xfId="0" applyNumberFormat="1" applyAlignment="1">
      <alignment vertical="top" wrapText="1"/>
    </xf>
    <xf numFmtId="49" fontId="2" fillId="6" borderId="15" xfId="0" applyNumberFormat="1" applyFont="1" applyFill="1" applyBorder="1" applyAlignment="1" applyProtection="1">
      <alignment horizontal="center" vertical="top" wrapText="1"/>
    </xf>
    <xf numFmtId="0" fontId="0" fillId="0" borderId="0" xfId="0" applyFont="1" applyFill="1" applyBorder="1" applyAlignment="1" applyProtection="1">
      <alignment horizontal="left" vertical="top" wrapText="1"/>
      <protection locked="0"/>
    </xf>
    <xf numFmtId="0" fontId="0" fillId="8" borderId="2" xfId="0" applyFont="1" applyFill="1" applyBorder="1" applyAlignment="1">
      <alignment wrapText="1"/>
    </xf>
    <xf numFmtId="14" fontId="0" fillId="8" borderId="5" xfId="0" applyNumberFormat="1" applyFont="1" applyFill="1" applyBorder="1" applyAlignment="1" applyProtection="1">
      <protection locked="0"/>
    </xf>
    <xf numFmtId="0" fontId="0" fillId="8" borderId="5" xfId="0" applyFont="1" applyFill="1" applyBorder="1" applyAlignment="1" applyProtection="1">
      <protection locked="0"/>
    </xf>
    <xf numFmtId="0" fontId="0" fillId="8" borderId="5" xfId="0" applyFont="1" applyFill="1" applyBorder="1" applyProtection="1"/>
    <xf numFmtId="14" fontId="4" fillId="0" borderId="0" xfId="0" applyNumberFormat="1" applyFont="1" applyFill="1" applyAlignment="1" applyProtection="1">
      <alignment horizontal="center" vertical="top" wrapText="1"/>
      <protection locked="0"/>
    </xf>
    <xf numFmtId="0" fontId="4" fillId="0" borderId="0" xfId="0" applyNumberFormat="1" applyFont="1" applyFill="1" applyAlignment="1" applyProtection="1">
      <alignment horizontal="left" vertical="top" wrapText="1"/>
      <protection locked="0"/>
    </xf>
    <xf numFmtId="0" fontId="0" fillId="0" borderId="18" xfId="0" applyFont="1" applyFill="1" applyBorder="1" applyAlignment="1">
      <alignment horizontal="left" vertical="center" wrapText="1"/>
    </xf>
    <xf numFmtId="0" fontId="0" fillId="0" borderId="26" xfId="0" applyFont="1" applyFill="1" applyBorder="1" applyAlignment="1">
      <alignment horizontal="left" vertical="center" wrapText="1"/>
    </xf>
    <xf numFmtId="0" fontId="0" fillId="0" borderId="22" xfId="0" applyFont="1" applyFill="1" applyBorder="1" applyAlignment="1">
      <alignment horizontal="left" vertical="center" wrapText="1"/>
    </xf>
    <xf numFmtId="0" fontId="0" fillId="0" borderId="21" xfId="0" applyFont="1" applyFill="1" applyBorder="1" applyAlignment="1">
      <alignment horizontal="left" vertical="center" wrapText="1"/>
    </xf>
    <xf numFmtId="0" fontId="0" fillId="0" borderId="18" xfId="0" applyFont="1" applyFill="1" applyBorder="1" applyAlignment="1" applyProtection="1">
      <alignment horizontal="left" vertical="center" wrapText="1"/>
      <protection locked="0"/>
    </xf>
    <xf numFmtId="0" fontId="0" fillId="0" borderId="26" xfId="0" applyFont="1" applyFill="1" applyBorder="1" applyAlignment="1" applyProtection="1">
      <alignment horizontal="left" vertical="center" wrapText="1"/>
      <protection locked="0"/>
    </xf>
    <xf numFmtId="0" fontId="0" fillId="0" borderId="22" xfId="0" applyFont="1" applyFill="1" applyBorder="1" applyAlignment="1" applyProtection="1">
      <alignment horizontal="left" vertical="center" wrapText="1"/>
      <protection locked="0"/>
    </xf>
    <xf numFmtId="0" fontId="0" fillId="0" borderId="21" xfId="0" applyFont="1" applyFill="1" applyBorder="1" applyAlignment="1" applyProtection="1">
      <alignment horizontal="left" vertical="center" wrapText="1"/>
      <protection locked="0"/>
    </xf>
    <xf numFmtId="0" fontId="4" fillId="0" borderId="0" xfId="0" applyNumberFormat="1" applyFont="1" applyFill="1" applyBorder="1" applyAlignment="1" applyProtection="1">
      <alignment horizontal="left" vertical="top" wrapText="1"/>
      <protection locked="0"/>
    </xf>
    <xf numFmtId="0" fontId="0" fillId="0" borderId="0" xfId="0" applyFont="1" applyFill="1" applyBorder="1" applyProtection="1"/>
    <xf numFmtId="0" fontId="0" fillId="0" borderId="0" xfId="0" applyFont="1" applyAlignment="1">
      <alignment vertical="top"/>
    </xf>
    <xf numFmtId="0" fontId="0" fillId="0" borderId="0" xfId="0" applyFont="1" applyAlignment="1">
      <alignment horizontal="center" vertical="top"/>
    </xf>
    <xf numFmtId="0" fontId="0" fillId="0" borderId="0" xfId="0" applyFont="1" applyAlignment="1" applyProtection="1">
      <alignment horizontal="center" vertical="top"/>
      <protection locked="0"/>
    </xf>
    <xf numFmtId="0" fontId="0" fillId="11" borderId="0" xfId="0" applyFill="1" applyBorder="1" applyAlignment="1">
      <alignment vertical="top"/>
    </xf>
    <xf numFmtId="0" fontId="34" fillId="11" borderId="0" xfId="0" applyFont="1" applyFill="1" applyBorder="1" applyAlignment="1">
      <alignment vertical="top"/>
    </xf>
    <xf numFmtId="165" fontId="0" fillId="11" borderId="0" xfId="0" applyNumberFormat="1" applyFill="1" applyBorder="1" applyAlignment="1">
      <alignment vertical="top"/>
    </xf>
    <xf numFmtId="0" fontId="0" fillId="0" borderId="0" xfId="0" applyAlignment="1">
      <alignment vertical="top"/>
    </xf>
    <xf numFmtId="0" fontId="0" fillId="8" borderId="0" xfId="0" applyFont="1" applyFill="1" applyAlignment="1">
      <alignment horizontal="left" vertical="top" wrapText="1"/>
    </xf>
    <xf numFmtId="0" fontId="0" fillId="11" borderId="0" xfId="0" applyFill="1" applyBorder="1" applyAlignment="1">
      <alignment vertical="top" wrapText="1"/>
    </xf>
    <xf numFmtId="0" fontId="0" fillId="11" borderId="28" xfId="0" applyFill="1" applyBorder="1" applyAlignment="1">
      <alignment vertical="top"/>
    </xf>
    <xf numFmtId="0" fontId="0" fillId="11" borderId="28" xfId="0" applyFill="1" applyBorder="1" applyAlignment="1">
      <alignment horizontal="left" vertical="top" wrapText="1"/>
    </xf>
    <xf numFmtId="0" fontId="2" fillId="11" borderId="0" xfId="0" applyFont="1" applyFill="1" applyBorder="1" applyAlignment="1">
      <alignment vertical="top"/>
    </xf>
    <xf numFmtId="0" fontId="0" fillId="11" borderId="29" xfId="0" applyFont="1" applyFill="1" applyBorder="1" applyAlignment="1">
      <alignment horizontal="left" vertical="top" wrapText="1"/>
    </xf>
    <xf numFmtId="0" fontId="0" fillId="11" borderId="29" xfId="0" applyFill="1" applyBorder="1" applyAlignment="1">
      <alignment horizontal="left" vertical="top" wrapText="1"/>
    </xf>
    <xf numFmtId="0" fontId="2" fillId="0" borderId="0" xfId="0" applyFont="1" applyAlignment="1">
      <alignment vertical="top"/>
    </xf>
    <xf numFmtId="0" fontId="2" fillId="12" borderId="1" xfId="0" applyFont="1" applyFill="1" applyBorder="1" applyAlignment="1" applyProtection="1">
      <alignment horizontal="center" vertical="center" wrapText="1"/>
    </xf>
    <xf numFmtId="0" fontId="2" fillId="12" borderId="1" xfId="0" applyFont="1" applyFill="1" applyBorder="1" applyAlignment="1" applyProtection="1">
      <alignment horizontal="center" vertical="top" wrapText="1"/>
      <protection locked="0"/>
    </xf>
    <xf numFmtId="0" fontId="7" fillId="12" borderId="13" xfId="0" applyFont="1" applyFill="1" applyBorder="1" applyAlignment="1" applyProtection="1">
      <alignment horizontal="left" vertical="top" wrapText="1"/>
    </xf>
    <xf numFmtId="0" fontId="7" fillId="12" borderId="18" xfId="0" applyFont="1" applyFill="1" applyBorder="1" applyAlignment="1" applyProtection="1">
      <alignment horizontal="left" vertical="top" wrapText="1"/>
    </xf>
    <xf numFmtId="0" fontId="12" fillId="12" borderId="18" xfId="0" applyFont="1" applyFill="1" applyBorder="1" applyAlignment="1" applyProtection="1">
      <alignment horizontal="left" vertical="top" wrapText="1"/>
    </xf>
    <xf numFmtId="0" fontId="12" fillId="12" borderId="22" xfId="0" applyFont="1" applyFill="1" applyBorder="1" applyAlignment="1" applyProtection="1">
      <alignment horizontal="left" vertical="top" wrapText="1"/>
    </xf>
    <xf numFmtId="0" fontId="12" fillId="12" borderId="22" xfId="0" applyFont="1" applyFill="1" applyBorder="1" applyAlignment="1" applyProtection="1">
      <alignment horizontal="left" vertical="center" wrapText="1"/>
    </xf>
    <xf numFmtId="0" fontId="12" fillId="12" borderId="25" xfId="0" applyFont="1" applyFill="1" applyBorder="1" applyAlignment="1" applyProtection="1">
      <alignment horizontal="left" vertical="top" wrapText="1"/>
    </xf>
    <xf numFmtId="0" fontId="40" fillId="13" borderId="32" xfId="0" applyFont="1" applyFill="1" applyBorder="1" applyAlignment="1">
      <alignment wrapText="1"/>
    </xf>
    <xf numFmtId="0" fontId="0" fillId="14" borderId="30" xfId="0" applyFont="1" applyFill="1" applyBorder="1" applyAlignment="1">
      <alignment vertical="top" wrapText="1"/>
    </xf>
    <xf numFmtId="0" fontId="40" fillId="13" borderId="31" xfId="0" applyFont="1" applyFill="1" applyBorder="1" applyAlignment="1">
      <alignment wrapText="1"/>
    </xf>
    <xf numFmtId="0" fontId="40" fillId="13" borderId="33" xfId="0" applyFont="1" applyFill="1" applyBorder="1" applyAlignment="1">
      <alignment wrapText="1"/>
    </xf>
    <xf numFmtId="0" fontId="10" fillId="8" borderId="5" xfId="0" applyFont="1" applyFill="1" applyBorder="1" applyAlignment="1">
      <alignment vertical="top" wrapText="1"/>
    </xf>
    <xf numFmtId="0" fontId="0" fillId="15" borderId="0" xfId="0" applyFill="1" applyBorder="1" applyAlignment="1">
      <alignment vertical="top"/>
    </xf>
    <xf numFmtId="0" fontId="0" fillId="15" borderId="28" xfId="0" applyFill="1" applyBorder="1" applyAlignment="1">
      <alignment vertical="top"/>
    </xf>
    <xf numFmtId="0" fontId="0" fillId="11" borderId="0" xfId="0" applyFill="1" applyBorder="1" applyAlignment="1">
      <alignment horizontal="left" vertical="top" wrapText="1"/>
    </xf>
    <xf numFmtId="0" fontId="0" fillId="11" borderId="0" xfId="0" applyFont="1" applyFill="1" applyBorder="1" applyAlignment="1">
      <alignment horizontal="left" vertical="top" wrapText="1"/>
    </xf>
    <xf numFmtId="14" fontId="0" fillId="8" borderId="6" xfId="0" applyNumberFormat="1" applyFont="1" applyFill="1" applyBorder="1" applyAlignment="1">
      <alignment horizontal="left" vertical="top" wrapText="1"/>
    </xf>
    <xf numFmtId="14" fontId="12" fillId="2" borderId="1" xfId="0" applyNumberFormat="1" applyFont="1" applyFill="1" applyBorder="1" applyAlignment="1">
      <alignment horizontal="center" vertical="top" wrapText="1"/>
    </xf>
    <xf numFmtId="14" fontId="0" fillId="0" borderId="0" xfId="0" applyNumberFormat="1" applyFont="1" applyBorder="1" applyAlignment="1" applyProtection="1">
      <alignment horizontal="left" vertical="top" wrapText="1"/>
    </xf>
    <xf numFmtId="14" fontId="0" fillId="0" borderId="0" xfId="0" applyNumberFormat="1" applyFont="1" applyAlignment="1">
      <alignment horizontal="left" vertical="top" wrapText="1"/>
    </xf>
    <xf numFmtId="2" fontId="0" fillId="8" borderId="5" xfId="0" applyNumberFormat="1" applyFont="1" applyFill="1" applyBorder="1" applyAlignment="1">
      <alignment vertical="top" wrapText="1"/>
    </xf>
    <xf numFmtId="0" fontId="7" fillId="15" borderId="19" xfId="0" applyFont="1" applyFill="1" applyBorder="1" applyAlignment="1">
      <alignment horizontal="justify" vertical="top" wrapText="1"/>
    </xf>
    <xf numFmtId="0" fontId="7" fillId="15" borderId="24" xfId="0" applyFont="1" applyFill="1" applyBorder="1" applyAlignment="1">
      <alignment horizontal="justify" vertical="top" wrapText="1"/>
    </xf>
    <xf numFmtId="0" fontId="7" fillId="21" borderId="18" xfId="0" applyFont="1" applyFill="1" applyBorder="1" applyAlignment="1" applyProtection="1">
      <alignment horizontal="left" wrapText="1"/>
    </xf>
    <xf numFmtId="0" fontId="25" fillId="21" borderId="18" xfId="0" applyFont="1" applyFill="1" applyBorder="1" applyAlignment="1" applyProtection="1">
      <alignment horizontal="left" wrapText="1"/>
    </xf>
    <xf numFmtId="0" fontId="25" fillId="21" borderId="22" xfId="0" applyFont="1" applyFill="1" applyBorder="1" applyAlignment="1" applyProtection="1">
      <alignment horizontal="left" wrapText="1"/>
    </xf>
    <xf numFmtId="0" fontId="7" fillId="21" borderId="23" xfId="0" applyFont="1" applyFill="1" applyBorder="1" applyAlignment="1">
      <alignment horizontal="justify" vertical="top" wrapText="1"/>
    </xf>
    <xf numFmtId="0" fontId="7" fillId="21" borderId="25" xfId="0" applyFont="1" applyFill="1" applyBorder="1" applyAlignment="1" applyProtection="1">
      <alignment horizontal="left" wrapText="1"/>
    </xf>
    <xf numFmtId="0" fontId="0" fillId="0" borderId="36" xfId="0" applyFont="1" applyFill="1" applyBorder="1" applyAlignment="1" applyProtection="1">
      <alignment horizontal="left" vertical="center" wrapText="1"/>
      <protection locked="0"/>
    </xf>
    <xf numFmtId="0" fontId="0" fillId="0" borderId="37" xfId="0" applyFont="1" applyFill="1" applyBorder="1" applyAlignment="1" applyProtection="1">
      <alignment horizontal="left" vertical="center" wrapText="1"/>
      <protection locked="0"/>
    </xf>
    <xf numFmtId="0" fontId="7" fillId="12" borderId="22" xfId="0" applyFont="1" applyFill="1" applyBorder="1" applyAlignment="1" applyProtection="1">
      <alignment horizontal="left" vertical="top" wrapText="1"/>
    </xf>
    <xf numFmtId="0" fontId="7" fillId="21" borderId="38" xfId="0" applyFont="1" applyFill="1" applyBorder="1" applyAlignment="1" applyProtection="1">
      <alignment horizontal="left" wrapText="1"/>
    </xf>
    <xf numFmtId="0" fontId="7" fillId="15" borderId="20" xfId="0" applyFont="1" applyFill="1" applyBorder="1" applyAlignment="1">
      <alignment horizontal="justify" vertical="top" wrapText="1"/>
    </xf>
    <xf numFmtId="0" fontId="0" fillId="5" borderId="0" xfId="0" applyFont="1" applyFill="1" applyProtection="1"/>
    <xf numFmtId="0" fontId="0" fillId="5" borderId="0" xfId="0" applyFont="1" applyFill="1" applyBorder="1" applyProtection="1"/>
    <xf numFmtId="0" fontId="0" fillId="5" borderId="0" xfId="0" applyFont="1" applyFill="1" applyAlignment="1">
      <alignment wrapText="1"/>
    </xf>
    <xf numFmtId="0" fontId="5" fillId="0" borderId="26" xfId="0" applyFont="1" applyFill="1" applyBorder="1" applyAlignment="1">
      <alignment horizontal="justify" vertical="top" wrapText="1"/>
    </xf>
    <xf numFmtId="0" fontId="5" fillId="0" borderId="20" xfId="0" applyNumberFormat="1" applyFont="1" applyFill="1" applyBorder="1" applyAlignment="1">
      <alignment horizontal="justify" vertical="top" wrapText="1"/>
    </xf>
    <xf numFmtId="0" fontId="0" fillId="0" borderId="21" xfId="0" applyFont="1" applyFill="1" applyBorder="1" applyAlignment="1">
      <alignment horizontal="justify" vertical="top" wrapText="1"/>
    </xf>
    <xf numFmtId="0" fontId="5" fillId="0"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49" fontId="5" fillId="0" borderId="24" xfId="0" applyNumberFormat="1" applyFont="1" applyFill="1" applyBorder="1" applyAlignment="1">
      <alignment horizontal="justify" vertical="top" wrapText="1"/>
    </xf>
    <xf numFmtId="0" fontId="0" fillId="0" borderId="18" xfId="0" applyFont="1" applyFill="1" applyBorder="1" applyAlignment="1" applyProtection="1">
      <alignment vertical="top" wrapText="1"/>
      <protection locked="0"/>
    </xf>
    <xf numFmtId="0" fontId="0" fillId="0" borderId="27" xfId="0" applyFont="1" applyFill="1" applyBorder="1" applyAlignment="1" applyProtection="1">
      <alignment vertical="top" wrapText="1"/>
      <protection locked="0"/>
    </xf>
    <xf numFmtId="0" fontId="0" fillId="0" borderId="14" xfId="0" applyFont="1" applyFill="1" applyBorder="1" applyAlignment="1" applyProtection="1">
      <alignment horizontal="left"/>
    </xf>
    <xf numFmtId="0" fontId="0" fillId="0" borderId="20" xfId="0" applyFont="1" applyFill="1" applyBorder="1" applyAlignment="1" applyProtection="1">
      <alignment horizontal="left"/>
    </xf>
    <xf numFmtId="0" fontId="0" fillId="0" borderId="24" xfId="0" applyFont="1" applyFill="1" applyBorder="1" applyAlignment="1" applyProtection="1">
      <alignment horizontal="left"/>
    </xf>
    <xf numFmtId="0" fontId="0" fillId="0" borderId="13" xfId="0" applyFont="1" applyFill="1" applyBorder="1" applyAlignment="1">
      <alignment vertical="center" wrapText="1"/>
    </xf>
    <xf numFmtId="0" fontId="5" fillId="0" borderId="39" xfId="1" applyFont="1" applyFill="1" applyBorder="1" applyAlignment="1" applyProtection="1">
      <alignment vertical="center" wrapText="1"/>
    </xf>
    <xf numFmtId="14" fontId="0" fillId="0" borderId="14" xfId="0" applyNumberFormat="1" applyFont="1" applyFill="1" applyBorder="1" applyAlignment="1">
      <alignment vertical="top" wrapText="1"/>
    </xf>
    <xf numFmtId="0" fontId="0" fillId="0" borderId="18" xfId="0" applyFont="1" applyFill="1" applyBorder="1" applyAlignment="1">
      <alignment vertical="center" wrapText="1"/>
    </xf>
    <xf numFmtId="0" fontId="22" fillId="0" borderId="16" xfId="1" applyFont="1" applyFill="1" applyBorder="1" applyAlignment="1" applyProtection="1">
      <alignment vertical="center" wrapText="1"/>
    </xf>
    <xf numFmtId="0" fontId="42" fillId="0" borderId="16" xfId="1" applyFont="1" applyFill="1" applyBorder="1" applyAlignment="1" applyProtection="1">
      <alignment vertical="top" wrapText="1"/>
    </xf>
    <xf numFmtId="14" fontId="0" fillId="0" borderId="26" xfId="0" applyNumberFormat="1" applyFont="1" applyFill="1" applyBorder="1" applyAlignment="1">
      <alignment vertical="top" wrapText="1"/>
    </xf>
    <xf numFmtId="0" fontId="5" fillId="0" borderId="18" xfId="0" applyFont="1" applyFill="1" applyBorder="1" applyAlignment="1">
      <alignment vertical="center" wrapText="1"/>
    </xf>
    <xf numFmtId="0" fontId="0" fillId="0" borderId="16" xfId="0" applyFont="1" applyFill="1" applyBorder="1" applyAlignment="1">
      <alignment vertical="center" wrapText="1"/>
    </xf>
    <xf numFmtId="0" fontId="5" fillId="0" borderId="25" xfId="0" applyFont="1" applyFill="1" applyBorder="1" applyAlignment="1">
      <alignment vertical="center" wrapText="1"/>
    </xf>
    <xf numFmtId="0" fontId="0" fillId="0" borderId="40" xfId="0" applyFont="1" applyFill="1" applyBorder="1" applyAlignment="1">
      <alignment vertical="center" wrapText="1"/>
    </xf>
    <xf numFmtId="0" fontId="42" fillId="0" borderId="40" xfId="1" applyFont="1" applyFill="1" applyBorder="1" applyAlignment="1" applyProtection="1">
      <alignment vertical="top" wrapText="1"/>
    </xf>
    <xf numFmtId="14" fontId="0" fillId="0" borderId="24" xfId="0" applyNumberFormat="1" applyFont="1" applyFill="1" applyBorder="1" applyAlignment="1">
      <alignment vertical="top" wrapText="1"/>
    </xf>
    <xf numFmtId="0" fontId="2" fillId="12" borderId="0" xfId="0" applyFont="1" applyFill="1" applyAlignment="1" applyProtection="1">
      <alignment horizontal="center" wrapText="1"/>
      <protection locked="0"/>
    </xf>
    <xf numFmtId="0" fontId="2" fillId="12" borderId="0" xfId="0" applyFont="1" applyFill="1" applyAlignment="1" applyProtection="1">
      <alignment horizontal="center" vertical="top" wrapText="1"/>
      <protection locked="0"/>
    </xf>
    <xf numFmtId="0" fontId="12" fillId="12" borderId="0" xfId="0" applyFont="1" applyFill="1" applyAlignment="1" applyProtection="1">
      <alignment horizontal="center" vertical="top" wrapText="1"/>
    </xf>
    <xf numFmtId="2" fontId="25" fillId="12" borderId="7" xfId="0" applyNumberFormat="1" applyFont="1" applyFill="1" applyBorder="1" applyAlignment="1">
      <alignment vertical="center" wrapText="1"/>
    </xf>
    <xf numFmtId="14" fontId="0" fillId="12" borderId="0" xfId="0" applyNumberFormat="1" applyFont="1" applyFill="1" applyBorder="1" applyAlignment="1" applyProtection="1">
      <alignment horizontal="center" vertical="top" wrapText="1"/>
    </xf>
    <xf numFmtId="0" fontId="0" fillId="12" borderId="0" xfId="0" applyFont="1" applyFill="1" applyBorder="1" applyAlignment="1" applyProtection="1">
      <alignment horizontal="center" vertical="top" wrapText="1"/>
    </xf>
    <xf numFmtId="49" fontId="0" fillId="8" borderId="2" xfId="0" applyNumberFormat="1" applyFont="1" applyFill="1" applyBorder="1" applyAlignment="1">
      <alignment vertical="top" wrapText="1"/>
    </xf>
    <xf numFmtId="0" fontId="0" fillId="11" borderId="0" xfId="0" applyFill="1" applyBorder="1" applyAlignment="1">
      <alignment horizontal="left" vertical="top" wrapText="1"/>
    </xf>
    <xf numFmtId="0" fontId="17" fillId="11" borderId="0" xfId="0" applyFont="1" applyFill="1" applyBorder="1" applyAlignment="1">
      <alignment vertical="top"/>
    </xf>
    <xf numFmtId="0" fontId="0" fillId="11" borderId="41" xfId="0" applyFill="1" applyBorder="1" applyAlignment="1">
      <alignment horizontal="left" vertical="top" wrapText="1"/>
    </xf>
    <xf numFmtId="0" fontId="0" fillId="11" borderId="42" xfId="0" applyFill="1" applyBorder="1" applyAlignment="1">
      <alignment vertical="top"/>
    </xf>
    <xf numFmtId="0" fontId="0" fillId="11" borderId="0" xfId="0" applyFont="1" applyFill="1" applyBorder="1" applyAlignment="1">
      <alignment vertical="top"/>
    </xf>
    <xf numFmtId="0" fontId="0" fillId="11" borderId="0" xfId="0" applyFont="1" applyFill="1" applyBorder="1" applyAlignment="1">
      <alignment vertical="top" wrapText="1"/>
    </xf>
    <xf numFmtId="0" fontId="17" fillId="11" borderId="0" xfId="0" applyFont="1" applyFill="1" applyBorder="1" applyAlignment="1">
      <alignment vertical="top" wrapText="1"/>
    </xf>
    <xf numFmtId="165" fontId="17" fillId="11" borderId="28" xfId="0" applyNumberFormat="1" applyFont="1" applyFill="1" applyBorder="1" applyAlignment="1">
      <alignment vertical="top"/>
    </xf>
    <xf numFmtId="165" fontId="0" fillId="11" borderId="28" xfId="0" applyNumberFormat="1" applyFont="1" applyFill="1" applyBorder="1" applyAlignment="1">
      <alignment vertical="top"/>
    </xf>
    <xf numFmtId="165" fontId="52" fillId="11" borderId="28" xfId="0" applyNumberFormat="1" applyFont="1" applyFill="1" applyBorder="1" applyAlignment="1">
      <alignment vertical="top"/>
    </xf>
    <xf numFmtId="165" fontId="52" fillId="11" borderId="28" xfId="0" applyNumberFormat="1" applyFont="1" applyFill="1" applyBorder="1" applyAlignment="1">
      <alignment horizontal="right" vertical="top"/>
    </xf>
    <xf numFmtId="0" fontId="5" fillId="0" borderId="22" xfId="0" applyFont="1" applyFill="1" applyBorder="1" applyAlignment="1">
      <alignment vertical="center" wrapText="1"/>
    </xf>
    <xf numFmtId="0" fontId="0" fillId="0" borderId="15" xfId="0" applyFont="1" applyFill="1" applyBorder="1" applyAlignment="1">
      <alignment vertical="center" wrapText="1"/>
    </xf>
    <xf numFmtId="0" fontId="42" fillId="0" borderId="15" xfId="1" applyFont="1" applyFill="1" applyBorder="1" applyAlignment="1" applyProtection="1">
      <alignment vertical="top" wrapText="1"/>
    </xf>
    <xf numFmtId="14" fontId="0" fillId="0" borderId="21" xfId="0" applyNumberFormat="1" applyFont="1" applyFill="1" applyBorder="1" applyAlignment="1">
      <alignment vertical="top" wrapText="1"/>
    </xf>
    <xf numFmtId="0" fontId="35" fillId="11" borderId="0" xfId="0" applyFont="1" applyFill="1" applyBorder="1" applyAlignment="1">
      <alignment horizontal="left"/>
    </xf>
    <xf numFmtId="0" fontId="35" fillId="11" borderId="0" xfId="0" applyFont="1" applyFill="1" applyBorder="1" applyAlignment="1">
      <alignment vertical="top"/>
    </xf>
    <xf numFmtId="0" fontId="56" fillId="23" borderId="0" xfId="0" applyFont="1" applyFill="1" applyBorder="1" applyAlignment="1"/>
    <xf numFmtId="0" fontId="47" fillId="23" borderId="0" xfId="0" applyFont="1" applyFill="1" applyBorder="1" applyAlignment="1">
      <alignment vertical="top"/>
    </xf>
    <xf numFmtId="0" fontId="47" fillId="23" borderId="0" xfId="0" applyFont="1" applyFill="1" applyBorder="1" applyAlignment="1">
      <alignment vertical="top" wrapText="1"/>
    </xf>
    <xf numFmtId="0" fontId="47" fillId="23" borderId="28" xfId="0" applyFont="1" applyFill="1" applyBorder="1" applyAlignment="1">
      <alignment vertical="top"/>
    </xf>
    <xf numFmtId="0" fontId="47" fillId="23" borderId="0" xfId="0" applyFont="1" applyFill="1" applyBorder="1" applyAlignment="1"/>
    <xf numFmtId="0" fontId="2" fillId="15" borderId="0" xfId="0" applyFont="1" applyFill="1" applyBorder="1" applyAlignment="1">
      <alignment vertical="top"/>
    </xf>
    <xf numFmtId="0" fontId="0" fillId="15" borderId="0" xfId="0" applyFill="1" applyBorder="1" applyAlignment="1">
      <alignment vertical="top" wrapText="1"/>
    </xf>
    <xf numFmtId="0" fontId="5" fillId="11" borderId="0" xfId="0" applyFont="1" applyFill="1" applyBorder="1" applyAlignment="1">
      <alignment horizontal="left" vertical="top" wrapText="1"/>
    </xf>
    <xf numFmtId="0" fontId="26" fillId="16" borderId="45" xfId="0" applyFont="1" applyFill="1" applyBorder="1" applyAlignment="1">
      <alignment horizontal="center" vertical="top" wrapText="1"/>
    </xf>
    <xf numFmtId="0" fontId="61" fillId="3" borderId="45" xfId="1" applyFont="1" applyFill="1" applyBorder="1" applyAlignment="1" applyProtection="1">
      <alignment horizontal="center" vertical="top" wrapText="1"/>
    </xf>
    <xf numFmtId="0" fontId="61" fillId="20" borderId="45" xfId="1" applyFont="1" applyFill="1" applyBorder="1" applyAlignment="1" applyProtection="1">
      <alignment horizontal="center" vertical="top" wrapText="1"/>
    </xf>
    <xf numFmtId="0" fontId="40" fillId="16" borderId="44" xfId="0" applyFont="1" applyFill="1" applyBorder="1" applyAlignment="1">
      <alignment horizontal="center" vertical="top" wrapText="1"/>
    </xf>
    <xf numFmtId="0" fontId="62" fillId="17" borderId="44" xfId="1" applyFont="1" applyFill="1" applyBorder="1" applyAlignment="1" applyProtection="1">
      <alignment horizontal="center" vertical="top" wrapText="1"/>
    </xf>
    <xf numFmtId="0" fontId="62" fillId="18" borderId="44" xfId="1" applyFont="1" applyFill="1" applyBorder="1" applyAlignment="1" applyProtection="1">
      <alignment horizontal="center" vertical="top" wrapText="1"/>
    </xf>
    <xf numFmtId="0" fontId="62" fillId="3" borderId="44" xfId="1" applyFont="1" applyFill="1" applyBorder="1" applyAlignment="1" applyProtection="1">
      <alignment horizontal="center" vertical="top" wrapText="1"/>
    </xf>
    <xf numFmtId="0" fontId="62" fillId="19" borderId="44" xfId="1" applyFont="1" applyFill="1" applyBorder="1" applyAlignment="1" applyProtection="1">
      <alignment horizontal="center" vertical="top" wrapText="1"/>
    </xf>
    <xf numFmtId="0" fontId="62" fillId="20" borderId="44" xfId="1" applyFont="1" applyFill="1" applyBorder="1" applyAlignment="1" applyProtection="1">
      <alignment horizontal="center" vertical="top" wrapText="1"/>
    </xf>
    <xf numFmtId="0" fontId="63" fillId="17" borderId="45" xfId="1" applyFont="1" applyFill="1" applyBorder="1" applyAlignment="1" applyProtection="1">
      <alignment horizontal="center" vertical="top" wrapText="1"/>
    </xf>
    <xf numFmtId="0" fontId="63" fillId="18" borderId="45" xfId="1" applyFont="1" applyFill="1" applyBorder="1" applyAlignment="1" applyProtection="1">
      <alignment horizontal="center" vertical="top" wrapText="1"/>
    </xf>
    <xf numFmtId="0" fontId="63" fillId="19" borderId="45" xfId="1" applyFont="1" applyFill="1" applyBorder="1" applyAlignment="1" applyProtection="1">
      <alignment horizontal="center" vertical="top" wrapText="1"/>
    </xf>
    <xf numFmtId="0" fontId="7" fillId="21" borderId="22" xfId="0" applyFont="1" applyFill="1" applyBorder="1" applyAlignment="1" applyProtection="1">
      <alignment horizontal="left" wrapText="1"/>
    </xf>
    <xf numFmtId="0" fontId="0" fillId="0" borderId="14" xfId="0" applyFont="1" applyFill="1" applyBorder="1" applyAlignment="1">
      <alignment horizontal="left" vertical="top" wrapText="1"/>
    </xf>
    <xf numFmtId="0" fontId="1" fillId="2" borderId="0" xfId="1" applyFill="1" applyAlignment="1" applyProtection="1">
      <alignment wrapText="1"/>
    </xf>
    <xf numFmtId="164" fontId="13" fillId="0" borderId="0" xfId="0" applyNumberFormat="1" applyFont="1" applyAlignment="1">
      <alignment horizontal="left" wrapText="1"/>
    </xf>
    <xf numFmtId="0" fontId="0" fillId="15" borderId="0" xfId="0" applyFill="1" applyAlignment="1">
      <alignment wrapText="1"/>
    </xf>
    <xf numFmtId="0" fontId="0" fillId="15" borderId="0" xfId="0" applyFill="1" applyBorder="1" applyAlignment="1">
      <alignment wrapText="1"/>
    </xf>
    <xf numFmtId="164" fontId="13" fillId="15" borderId="0" xfId="0" applyNumberFormat="1" applyFont="1" applyFill="1" applyAlignment="1">
      <alignment horizontal="left" wrapText="1"/>
    </xf>
    <xf numFmtId="0" fontId="17" fillId="0" borderId="26" xfId="0" applyFont="1" applyFill="1" applyBorder="1" applyAlignment="1">
      <alignment horizontal="left" vertical="top" wrapText="1"/>
    </xf>
    <xf numFmtId="49" fontId="0" fillId="0" borderId="0" xfId="0" applyNumberFormat="1" applyFont="1" applyFill="1" applyBorder="1" applyAlignment="1" applyProtection="1">
      <alignment horizontal="left" vertical="top" wrapText="1"/>
      <protection locked="0"/>
    </xf>
    <xf numFmtId="2" fontId="17" fillId="0" borderId="0" xfId="0" applyNumberFormat="1" applyFont="1" applyFill="1" applyBorder="1" applyAlignment="1" applyProtection="1">
      <alignment horizontal="left" vertical="top" wrapText="1"/>
      <protection locked="0"/>
    </xf>
    <xf numFmtId="14" fontId="0" fillId="0" borderId="0" xfId="0" applyNumberFormat="1" applyFont="1" applyFill="1" applyBorder="1" applyAlignment="1" applyProtection="1">
      <alignment horizontal="left" vertical="top" wrapText="1"/>
    </xf>
    <xf numFmtId="0" fontId="0" fillId="0" borderId="0" xfId="0" applyFont="1" applyFill="1" applyBorder="1" applyAlignment="1" applyProtection="1">
      <alignment horizontal="left" vertical="top" wrapText="1"/>
    </xf>
    <xf numFmtId="0" fontId="70" fillId="0" borderId="0" xfId="0" applyNumberFormat="1" applyFont="1" applyFill="1" applyAlignment="1" applyProtection="1">
      <alignment horizontal="left" vertical="top" wrapText="1"/>
      <protection locked="0"/>
    </xf>
    <xf numFmtId="49" fontId="48" fillId="0" borderId="0" xfId="0" applyNumberFormat="1" applyFont="1" applyBorder="1" applyAlignment="1" applyProtection="1">
      <alignment horizontal="left" vertical="top" wrapText="1"/>
      <protection locked="0"/>
    </xf>
    <xf numFmtId="49" fontId="5" fillId="0" borderId="0" xfId="0" applyNumberFormat="1" applyFont="1" applyBorder="1" applyAlignment="1" applyProtection="1">
      <alignment horizontal="left" vertical="top" wrapText="1"/>
      <protection locked="0"/>
    </xf>
    <xf numFmtId="0" fontId="1" fillId="0" borderId="39" xfId="1" applyFill="1" applyBorder="1" applyAlignment="1" applyProtection="1">
      <alignment vertical="top" wrapText="1"/>
    </xf>
    <xf numFmtId="0" fontId="1" fillId="0" borderId="16" xfId="1" applyFill="1" applyBorder="1" applyAlignment="1" applyProtection="1">
      <alignment vertical="top" wrapText="1"/>
    </xf>
    <xf numFmtId="0" fontId="2" fillId="12" borderId="46" xfId="0" applyFont="1" applyFill="1" applyBorder="1" applyAlignment="1" applyProtection="1">
      <alignment horizontal="center" vertical="center" wrapText="1"/>
      <protection locked="0"/>
    </xf>
    <xf numFmtId="0" fontId="4" fillId="0" borderId="11" xfId="0" applyNumberFormat="1" applyFont="1" applyFill="1" applyBorder="1" applyAlignment="1" applyProtection="1">
      <alignment horizontal="left" vertical="top" wrapText="1"/>
      <protection locked="0"/>
    </xf>
    <xf numFmtId="49" fontId="0" fillId="0" borderId="11" xfId="0" applyNumberFormat="1" applyFont="1" applyBorder="1" applyAlignment="1" applyProtection="1">
      <alignment horizontal="left" vertical="top" wrapText="1"/>
      <protection locked="0"/>
    </xf>
    <xf numFmtId="2" fontId="71" fillId="0" borderId="0" xfId="0" applyNumberFormat="1" applyFont="1" applyBorder="1" applyAlignment="1" applyProtection="1">
      <alignment horizontal="left" vertical="top" wrapText="1"/>
      <protection locked="0"/>
    </xf>
    <xf numFmtId="49" fontId="5" fillId="0" borderId="0" xfId="0" applyNumberFormat="1" applyFont="1" applyFill="1" applyBorder="1" applyAlignment="1" applyProtection="1">
      <alignment horizontal="left" vertical="top" wrapText="1"/>
      <protection locked="0"/>
    </xf>
    <xf numFmtId="0" fontId="2" fillId="11" borderId="43" xfId="0" applyFont="1" applyFill="1" applyBorder="1" applyAlignment="1">
      <alignment horizontal="left" vertical="top" wrapText="1"/>
    </xf>
    <xf numFmtId="0" fontId="2" fillId="11" borderId="0" xfId="0" applyFont="1" applyFill="1" applyBorder="1" applyAlignment="1">
      <alignment horizontal="left" vertical="top" wrapText="1"/>
    </xf>
    <xf numFmtId="0" fontId="68" fillId="11" borderId="43" xfId="0" applyFont="1" applyFill="1" applyBorder="1" applyAlignment="1">
      <alignment horizontal="left" vertical="top" wrapText="1"/>
    </xf>
    <xf numFmtId="0" fontId="68" fillId="11" borderId="0" xfId="0" applyFont="1" applyFill="1" applyBorder="1" applyAlignment="1">
      <alignment horizontal="left" vertical="top" wrapText="1"/>
    </xf>
    <xf numFmtId="0" fontId="17" fillId="11" borderId="43" xfId="0" applyFont="1" applyFill="1" applyBorder="1" applyAlignment="1">
      <alignment horizontal="left" vertical="top" wrapText="1"/>
    </xf>
    <xf numFmtId="0" fontId="17" fillId="11" borderId="0" xfId="0" applyFont="1" applyFill="1" applyBorder="1" applyAlignment="1">
      <alignment horizontal="left" vertical="top" wrapText="1"/>
    </xf>
    <xf numFmtId="0" fontId="5" fillId="11" borderId="0" xfId="0" applyFont="1" applyFill="1" applyBorder="1" applyAlignment="1">
      <alignment horizontal="left" vertical="top" wrapText="1"/>
    </xf>
    <xf numFmtId="0" fontId="1" fillId="11" borderId="0" xfId="1" applyFill="1" applyBorder="1" applyAlignment="1" applyProtection="1">
      <alignment horizontal="left" vertical="top" indent="2"/>
    </xf>
    <xf numFmtId="0" fontId="35" fillId="9" borderId="0" xfId="0" applyFont="1" applyFill="1" applyBorder="1" applyAlignment="1">
      <alignment horizontal="left" vertical="top"/>
    </xf>
    <xf numFmtId="0" fontId="58" fillId="23" borderId="0" xfId="0" applyFont="1" applyFill="1" applyBorder="1" applyAlignment="1">
      <alignment horizontal="left" vertical="top"/>
    </xf>
    <xf numFmtId="0" fontId="59" fillId="15" borderId="0" xfId="0" applyFont="1" applyFill="1" applyBorder="1" applyAlignment="1">
      <alignment horizontal="left" vertical="top"/>
    </xf>
    <xf numFmtId="0" fontId="0" fillId="11" borderId="0" xfId="0" applyFont="1" applyFill="1" applyBorder="1" applyAlignment="1">
      <alignment horizontal="left" vertical="top" wrapText="1"/>
    </xf>
    <xf numFmtId="0" fontId="42" fillId="15" borderId="0" xfId="1" applyFont="1" applyFill="1" applyBorder="1" applyAlignment="1" applyProtection="1">
      <alignment horizontal="left" vertical="top"/>
    </xf>
    <xf numFmtId="0" fontId="0" fillId="11" borderId="0" xfId="0" applyFill="1" applyBorder="1" applyAlignment="1">
      <alignment horizontal="left" vertical="top" wrapText="1"/>
    </xf>
    <xf numFmtId="0" fontId="0" fillId="15" borderId="0" xfId="0" applyFont="1" applyFill="1" applyAlignment="1">
      <alignment vertical="top"/>
    </xf>
    <xf numFmtId="0" fontId="34" fillId="11" borderId="0" xfId="0" applyFont="1" applyFill="1" applyBorder="1" applyAlignment="1">
      <alignment horizontal="left" vertical="top"/>
    </xf>
    <xf numFmtId="0" fontId="0" fillId="15" borderId="0" xfId="0" applyFill="1"/>
    <xf numFmtId="0" fontId="0" fillId="11" borderId="0" xfId="0" applyFill="1" applyBorder="1" applyAlignment="1">
      <alignment horizontal="left" vertical="top"/>
    </xf>
    <xf numFmtId="0" fontId="35" fillId="9" borderId="0" xfId="0" applyFont="1" applyFill="1" applyBorder="1" applyAlignment="1">
      <alignment horizontal="left" vertical="center"/>
    </xf>
    <xf numFmtId="0" fontId="1" fillId="0" borderId="0" xfId="1" applyAlignment="1" applyProtection="1">
      <alignment horizontal="left" indent="2"/>
    </xf>
    <xf numFmtId="0" fontId="5" fillId="11" borderId="0" xfId="0" applyFont="1" applyFill="1" applyBorder="1" applyAlignment="1">
      <alignment horizontal="left" vertical="top" wrapText="1" indent="2"/>
    </xf>
    <xf numFmtId="0" fontId="37" fillId="11" borderId="0" xfId="0" applyFont="1" applyFill="1" applyBorder="1" applyAlignment="1">
      <alignment horizontal="left" vertical="top" wrapText="1" indent="4"/>
    </xf>
    <xf numFmtId="0" fontId="1" fillId="11" borderId="0" xfId="1" applyFill="1" applyBorder="1" applyAlignment="1" applyProtection="1">
      <alignment horizontal="left" vertical="top" wrapText="1" indent="7"/>
    </xf>
    <xf numFmtId="0" fontId="48" fillId="11" borderId="0" xfId="0" applyFont="1" applyFill="1" applyBorder="1" applyAlignment="1">
      <alignment horizontal="left" vertical="top" wrapText="1" indent="2"/>
    </xf>
    <xf numFmtId="0" fontId="35" fillId="9" borderId="0" xfId="0" applyFont="1" applyFill="1" applyBorder="1" applyAlignment="1">
      <alignment horizontal="left"/>
    </xf>
    <xf numFmtId="0" fontId="27" fillId="0" borderId="2" xfId="0" applyFont="1" applyFill="1" applyBorder="1" applyAlignment="1" applyProtection="1">
      <alignment horizontal="center" vertical="center" wrapText="1"/>
    </xf>
    <xf numFmtId="0" fontId="27" fillId="0" borderId="3" xfId="0" applyFont="1" applyFill="1" applyBorder="1" applyAlignment="1" applyProtection="1">
      <alignment horizontal="center" vertical="center" wrapText="1"/>
    </xf>
    <xf numFmtId="0" fontId="25" fillId="18" borderId="2" xfId="0" applyFont="1" applyFill="1" applyBorder="1" applyAlignment="1" applyProtection="1">
      <alignment horizontal="center" wrapText="1"/>
    </xf>
    <xf numFmtId="0" fontId="25" fillId="18" borderId="3" xfId="0" applyFont="1" applyFill="1" applyBorder="1" applyAlignment="1" applyProtection="1">
      <alignment horizontal="center" wrapText="1"/>
    </xf>
    <xf numFmtId="0" fontId="7" fillId="8" borderId="2" xfId="0" applyFont="1" applyFill="1" applyBorder="1" applyAlignment="1" applyProtection="1">
      <alignment horizontal="center"/>
    </xf>
    <xf numFmtId="0" fontId="7" fillId="8" borderId="3" xfId="0" applyFont="1" applyFill="1" applyBorder="1" applyAlignment="1" applyProtection="1">
      <alignment horizontal="center"/>
    </xf>
    <xf numFmtId="0" fontId="23" fillId="22" borderId="10" xfId="1" applyFont="1" applyFill="1" applyBorder="1" applyAlignment="1" applyProtection="1">
      <alignment horizontal="center" vertical="center" wrapText="1"/>
    </xf>
    <xf numFmtId="0" fontId="23" fillId="22" borderId="0" xfId="1" applyFont="1" applyFill="1" applyAlignment="1" applyProtection="1">
      <alignment horizontal="center" vertical="center" wrapText="1"/>
    </xf>
    <xf numFmtId="0" fontId="2" fillId="22" borderId="10" xfId="1" applyFont="1" applyFill="1" applyBorder="1" applyAlignment="1" applyProtection="1">
      <alignment horizontal="center" vertical="center"/>
    </xf>
    <xf numFmtId="0" fontId="2" fillId="22" borderId="0" xfId="1" applyFont="1" applyFill="1" applyBorder="1" applyAlignment="1" applyProtection="1">
      <alignment horizontal="center" vertical="center"/>
    </xf>
    <xf numFmtId="0" fontId="6" fillId="22" borderId="10" xfId="1" applyFont="1" applyFill="1" applyBorder="1" applyAlignment="1" applyProtection="1">
      <alignment horizontal="center" vertical="center"/>
    </xf>
    <xf numFmtId="0" fontId="6" fillId="22" borderId="0" xfId="1" applyFont="1" applyFill="1" applyBorder="1" applyAlignment="1" applyProtection="1">
      <alignment horizontal="center" vertical="center"/>
    </xf>
    <xf numFmtId="0" fontId="29" fillId="22" borderId="10" xfId="0" applyFont="1" applyFill="1" applyBorder="1" applyAlignment="1" applyProtection="1">
      <alignment vertical="center" wrapText="1"/>
    </xf>
    <xf numFmtId="0" fontId="29" fillId="22" borderId="0" xfId="0" applyFont="1" applyFill="1" applyAlignment="1" applyProtection="1">
      <alignment vertical="center" wrapText="1"/>
    </xf>
    <xf numFmtId="0" fontId="54" fillId="22" borderId="10" xfId="0" applyFont="1" applyFill="1" applyBorder="1" applyAlignment="1" applyProtection="1">
      <alignment horizontal="right" vertical="center" wrapText="1"/>
    </xf>
    <xf numFmtId="0" fontId="54" fillId="22" borderId="0" xfId="0" applyFont="1" applyFill="1" applyAlignment="1" applyProtection="1">
      <alignment horizontal="right" vertical="center" wrapText="1"/>
    </xf>
    <xf numFmtId="0" fontId="24" fillId="5" borderId="10" xfId="0" applyFont="1" applyFill="1" applyBorder="1" applyAlignment="1" applyProtection="1">
      <alignment horizontal="left" vertical="top" wrapText="1"/>
    </xf>
    <xf numFmtId="0" fontId="24" fillId="5" borderId="0" xfId="0" applyFont="1" applyFill="1" applyBorder="1" applyAlignment="1" applyProtection="1">
      <alignment horizontal="left" vertical="top" wrapText="1"/>
    </xf>
    <xf numFmtId="0" fontId="30" fillId="22" borderId="10" xfId="0" applyFont="1" applyFill="1" applyBorder="1" applyAlignment="1" applyProtection="1">
      <alignment horizontal="right" vertical="center" wrapText="1"/>
    </xf>
    <xf numFmtId="0" fontId="30" fillId="22" borderId="0" xfId="0" applyFont="1" applyFill="1" applyAlignment="1" applyProtection="1">
      <alignment horizontal="right" vertical="center" wrapText="1"/>
    </xf>
    <xf numFmtId="2" fontId="25" fillId="12" borderId="2" xfId="0" applyNumberFormat="1" applyFont="1" applyFill="1" applyBorder="1" applyAlignment="1">
      <alignment horizontal="center" vertical="center" wrapText="1"/>
    </xf>
    <xf numFmtId="2" fontId="25" fillId="12" borderId="5" xfId="0" applyNumberFormat="1" applyFont="1" applyFill="1" applyBorder="1" applyAlignment="1">
      <alignment horizontal="center" vertical="center" wrapText="1"/>
    </xf>
    <xf numFmtId="0" fontId="0" fillId="3" borderId="12" xfId="0" applyFont="1" applyFill="1" applyBorder="1" applyAlignment="1">
      <alignment horizontal="left" vertical="center" wrapText="1"/>
    </xf>
    <xf numFmtId="0" fontId="0" fillId="3" borderId="6" xfId="0" applyFont="1" applyFill="1" applyBorder="1" applyAlignment="1">
      <alignment horizontal="left" vertical="center" wrapText="1"/>
    </xf>
    <xf numFmtId="0" fontId="0" fillId="3" borderId="4" xfId="0" applyFont="1" applyFill="1" applyBorder="1" applyAlignment="1">
      <alignment horizontal="left" vertical="center" wrapText="1"/>
    </xf>
    <xf numFmtId="0" fontId="0" fillId="4" borderId="0" xfId="0" applyFill="1" applyBorder="1" applyAlignment="1">
      <alignment horizontal="right" vertical="top" wrapText="1"/>
    </xf>
    <xf numFmtId="0" fontId="9" fillId="3" borderId="10" xfId="0" applyFont="1" applyFill="1" applyBorder="1" applyAlignment="1">
      <alignment horizontal="left" vertical="center" wrapText="1"/>
    </xf>
    <xf numFmtId="0" fontId="10" fillId="3" borderId="0" xfId="0" applyFont="1" applyFill="1" applyBorder="1" applyAlignment="1">
      <alignment horizontal="left" vertical="center" wrapText="1"/>
    </xf>
    <xf numFmtId="0" fontId="10" fillId="3" borderId="11" xfId="0" applyFont="1" applyFill="1" applyBorder="1" applyAlignment="1">
      <alignment horizontal="left" vertical="center" wrapText="1"/>
    </xf>
    <xf numFmtId="0" fontId="0" fillId="4" borderId="10" xfId="0" applyFill="1" applyBorder="1" applyAlignment="1">
      <alignment horizontal="left" vertical="top" wrapText="1"/>
    </xf>
    <xf numFmtId="0" fontId="0" fillId="4" borderId="0" xfId="0" applyFill="1" applyBorder="1" applyAlignment="1">
      <alignment horizontal="left" vertical="top" wrapText="1"/>
    </xf>
    <xf numFmtId="0" fontId="0" fillId="4" borderId="11" xfId="0" applyFill="1" applyBorder="1" applyAlignment="1">
      <alignment horizontal="left" vertical="top" wrapText="1"/>
    </xf>
    <xf numFmtId="0" fontId="0" fillId="3" borderId="0" xfId="0" applyFill="1" applyBorder="1" applyAlignment="1">
      <alignment horizontal="left" vertical="top" wrapText="1"/>
    </xf>
    <xf numFmtId="0" fontId="0" fillId="3" borderId="11" xfId="0" applyFill="1" applyBorder="1" applyAlignment="1">
      <alignment horizontal="left" vertical="top" wrapText="1"/>
    </xf>
    <xf numFmtId="0" fontId="7" fillId="3" borderId="8" xfId="0" applyFont="1" applyFill="1" applyBorder="1" applyAlignment="1">
      <alignment horizontal="left" vertical="center" wrapText="1"/>
    </xf>
    <xf numFmtId="0" fontId="7" fillId="3" borderId="7" xfId="0" applyFont="1" applyFill="1" applyBorder="1" applyAlignment="1">
      <alignment horizontal="left" vertical="center" wrapText="1"/>
    </xf>
    <xf numFmtId="0" fontId="7" fillId="3" borderId="9" xfId="0" applyFont="1" applyFill="1" applyBorder="1" applyAlignment="1">
      <alignment horizontal="left" vertical="center" wrapText="1"/>
    </xf>
    <xf numFmtId="0" fontId="43" fillId="7" borderId="17" xfId="0" applyNumberFormat="1" applyFont="1" applyFill="1" applyBorder="1" applyAlignment="1">
      <alignment vertical="top" wrapText="1"/>
    </xf>
    <xf numFmtId="49" fontId="7" fillId="6" borderId="27" xfId="0" applyNumberFormat="1" applyFont="1" applyFill="1" applyBorder="1" applyAlignment="1" applyProtection="1">
      <alignment horizontal="center" vertical="center" wrapText="1"/>
    </xf>
    <xf numFmtId="49" fontId="45" fillId="6" borderId="34" xfId="0" applyNumberFormat="1" applyFont="1" applyFill="1" applyBorder="1" applyAlignment="1" applyProtection="1">
      <alignment horizontal="center" vertical="center" wrapText="1"/>
    </xf>
    <xf numFmtId="49" fontId="45" fillId="6" borderId="35" xfId="0" applyNumberFormat="1" applyFont="1" applyFill="1" applyBorder="1" applyAlignment="1" applyProtection="1">
      <alignment horizontal="center" vertical="center" wrapText="1"/>
    </xf>
    <xf numFmtId="0" fontId="36" fillId="8" borderId="2" xfId="0" applyFont="1" applyFill="1" applyBorder="1" applyAlignment="1">
      <alignment horizontal="left" vertical="top" wrapText="1"/>
    </xf>
    <xf numFmtId="0" fontId="36" fillId="8" borderId="5" xfId="0" applyFont="1" applyFill="1" applyBorder="1" applyAlignment="1">
      <alignment horizontal="left" vertical="top" wrapText="1"/>
    </xf>
  </cellXfs>
  <cellStyles count="3">
    <cellStyle name="Hyperlink" xfId="1" builtinId="8"/>
    <cellStyle name="Normal" xfId="0" builtinId="0"/>
    <cellStyle name="Normal 2" xfId="2"/>
  </cellStyles>
  <dxfs count="2">
    <dxf>
      <fill>
        <patternFill>
          <bgColor theme="4" tint="0.79998168889431442"/>
        </patternFill>
      </fill>
    </dxf>
    <dxf>
      <fill>
        <patternFill>
          <bgColor theme="4" tint="0.79998168889431442"/>
        </patternFill>
      </fill>
    </dxf>
  </dxfs>
  <tableStyles count="0" defaultTableStyle="TableStyleMedium9" defaultPivotStyle="PivotStyleLight16"/>
  <colors>
    <mruColors>
      <color rgb="FF7ABC32"/>
      <color rgb="FF6DFFFF"/>
      <color rgb="FFCCFFFF"/>
      <color rgb="FFFAF398"/>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12700</xdr:colOff>
          <xdr:row>2</xdr:row>
          <xdr:rowOff>50800</xdr:rowOff>
        </xdr:from>
        <xdr:to>
          <xdr:col>19</xdr:col>
          <xdr:colOff>342900</xdr:colOff>
          <xdr:row>3</xdr:row>
          <xdr:rowOff>127000</xdr:rowOff>
        </xdr:to>
        <xdr:sp macro="" textlink="">
          <xdr:nvSpPr>
            <xdr:cNvPr id="47116" name="Button 12" hidden="1">
              <a:extLst>
                <a:ext uri="{63B3BB69-23CF-44E3-9099-C40C66FF867C}">
                  <a14:compatExt spid="_x0000_s4711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Contact Us for Support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3</xdr:row>
          <xdr:rowOff>12700</xdr:rowOff>
        </xdr:from>
        <xdr:to>
          <xdr:col>2</xdr:col>
          <xdr:colOff>2857500</xdr:colOff>
          <xdr:row>5</xdr:row>
          <xdr:rowOff>0</xdr:rowOff>
        </xdr:to>
        <xdr:sp macro="" textlink="">
          <xdr:nvSpPr>
            <xdr:cNvPr id="40970" name="Button 10" descr="Create JIRA Imports" hidden="1">
              <a:extLst>
                <a:ext uri="{63B3BB69-23CF-44E3-9099-C40C66FF867C}">
                  <a14:compatExt spid="_x0000_s4097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2200" b="1" i="0" u="none" strike="noStrike" baseline="0">
                  <a:solidFill>
                    <a:srgbClr val="000000"/>
                  </a:solidFill>
                  <a:latin typeface="Calibri"/>
                  <a:cs typeface="Calibri"/>
                </a:rPr>
                <a:t>Create JIRA Imports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8</xdr:row>
          <xdr:rowOff>0</xdr:rowOff>
        </xdr:from>
        <xdr:to>
          <xdr:col>2</xdr:col>
          <xdr:colOff>2857500</xdr:colOff>
          <xdr:row>9</xdr:row>
          <xdr:rowOff>190500</xdr:rowOff>
        </xdr:to>
        <xdr:sp macro="" textlink="">
          <xdr:nvSpPr>
            <xdr:cNvPr id="40971" name="Button 11" hidden="1">
              <a:extLst>
                <a:ext uri="{63B3BB69-23CF-44E3-9099-C40C66FF867C}">
                  <a14:compatExt spid="_x0000_s40971"/>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2200" b="1" i="0" u="none" strike="noStrike" baseline="0">
                  <a:solidFill>
                    <a:srgbClr val="000000"/>
                  </a:solidFill>
                  <a:latin typeface="Calibri"/>
                  <a:cs typeface="Calibri"/>
                </a:rPr>
                <a:t>Convert BRD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5</xdr:row>
          <xdr:rowOff>12700</xdr:rowOff>
        </xdr:from>
        <xdr:to>
          <xdr:col>2</xdr:col>
          <xdr:colOff>2857500</xdr:colOff>
          <xdr:row>6</xdr:row>
          <xdr:rowOff>0</xdr:rowOff>
        </xdr:to>
        <xdr:sp macro="" textlink="">
          <xdr:nvSpPr>
            <xdr:cNvPr id="40985" name="Button 25" descr="Link JIRA EPICs to JIRA Capabilities" hidden="1">
              <a:extLst>
                <a:ext uri="{63B3BB69-23CF-44E3-9099-C40C66FF867C}">
                  <a14:compatExt spid="_x0000_s409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Link JIRA EPICs to JIRA Capabilities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xdr:row>
          <xdr:rowOff>12700</xdr:rowOff>
        </xdr:from>
        <xdr:to>
          <xdr:col>2</xdr:col>
          <xdr:colOff>2857500</xdr:colOff>
          <xdr:row>7</xdr:row>
          <xdr:rowOff>0</xdr:rowOff>
        </xdr:to>
        <xdr:sp macro="" textlink="">
          <xdr:nvSpPr>
            <xdr:cNvPr id="40986" name="Button 26" descr="Link JIRA Stories to JIRA EPICS" hidden="1">
              <a:extLst>
                <a:ext uri="{63B3BB69-23CF-44E3-9099-C40C66FF867C}">
                  <a14:compatExt spid="_x0000_s409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Link JIRA Stories to JIRA EPICs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2889250</xdr:colOff>
          <xdr:row>3</xdr:row>
          <xdr:rowOff>12700</xdr:rowOff>
        </xdr:from>
        <xdr:to>
          <xdr:col>3</xdr:col>
          <xdr:colOff>952500</xdr:colOff>
          <xdr:row>4</xdr:row>
          <xdr:rowOff>0</xdr:rowOff>
        </xdr:to>
        <xdr:sp macro="" textlink="">
          <xdr:nvSpPr>
            <xdr:cNvPr id="40987" name="Button 27" hidden="1">
              <a:extLst>
                <a:ext uri="{63B3BB69-23CF-44E3-9099-C40C66FF867C}">
                  <a14:compatExt spid="_x0000_s409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Copy 'JIRA GADCR' to Create CSV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2889250</xdr:colOff>
          <xdr:row>4</xdr:row>
          <xdr:rowOff>12700</xdr:rowOff>
        </xdr:from>
        <xdr:to>
          <xdr:col>3</xdr:col>
          <xdr:colOff>952500</xdr:colOff>
          <xdr:row>5</xdr:row>
          <xdr:rowOff>0</xdr:rowOff>
        </xdr:to>
        <xdr:sp macro="" textlink="">
          <xdr:nvSpPr>
            <xdr:cNvPr id="40988" name="Button 28" hidden="1">
              <a:extLst>
                <a:ext uri="{63B3BB69-23CF-44E3-9099-C40C66FF867C}">
                  <a14:compatExt spid="_x0000_s4098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Copy 'JIRA CAP' to Create CSV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2889250</xdr:colOff>
          <xdr:row>5</xdr:row>
          <xdr:rowOff>12700</xdr:rowOff>
        </xdr:from>
        <xdr:to>
          <xdr:col>3</xdr:col>
          <xdr:colOff>952500</xdr:colOff>
          <xdr:row>6</xdr:row>
          <xdr:rowOff>0</xdr:rowOff>
        </xdr:to>
        <xdr:sp macro="" textlink="">
          <xdr:nvSpPr>
            <xdr:cNvPr id="40989" name="Button 29" hidden="1">
              <a:extLst>
                <a:ext uri="{63B3BB69-23CF-44E3-9099-C40C66FF867C}">
                  <a14:compatExt spid="_x0000_s409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Copy 'JIRA EPICS' to Create CSV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2889250</xdr:colOff>
          <xdr:row>6</xdr:row>
          <xdr:rowOff>12700</xdr:rowOff>
        </xdr:from>
        <xdr:to>
          <xdr:col>3</xdr:col>
          <xdr:colOff>952500</xdr:colOff>
          <xdr:row>7</xdr:row>
          <xdr:rowOff>0</xdr:rowOff>
        </xdr:to>
        <xdr:sp macro="" textlink="">
          <xdr:nvSpPr>
            <xdr:cNvPr id="40990" name="Button 30" hidden="1">
              <a:extLst>
                <a:ext uri="{63B3BB69-23CF-44E3-9099-C40C66FF867C}">
                  <a14:compatExt spid="_x0000_s409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Copy 'JIRA Story' to Create CSV File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12700</xdr:colOff>
          <xdr:row>0</xdr:row>
          <xdr:rowOff>0</xdr:rowOff>
        </xdr:from>
        <xdr:to>
          <xdr:col>0</xdr:col>
          <xdr:colOff>1200150</xdr:colOff>
          <xdr:row>0</xdr:row>
          <xdr:rowOff>203200</xdr:rowOff>
        </xdr:to>
        <xdr:sp macro="" textlink="">
          <xdr:nvSpPr>
            <xdr:cNvPr id="6150" name="Button 6" hidden="1">
              <a:extLst>
                <a:ext uri="{63B3BB69-23CF-44E3-9099-C40C66FF867C}">
                  <a14:compatExt spid="_x0000_s61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Add GP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1212850</xdr:colOff>
          <xdr:row>0</xdr:row>
          <xdr:rowOff>0</xdr:rowOff>
        </xdr:from>
        <xdr:to>
          <xdr:col>0</xdr:col>
          <xdr:colOff>2400300</xdr:colOff>
          <xdr:row>0</xdr:row>
          <xdr:rowOff>203200</xdr:rowOff>
        </xdr:to>
        <xdr:sp macro="" textlink="">
          <xdr:nvSpPr>
            <xdr:cNvPr id="6157" name="Button 13" descr="Add Assumption" hidden="1">
              <a:extLst>
                <a:ext uri="{63B3BB69-23CF-44E3-9099-C40C66FF867C}">
                  <a14:compatExt spid="_x0000_s61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Add Assumption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2413000</xdr:colOff>
          <xdr:row>0</xdr:row>
          <xdr:rowOff>0</xdr:rowOff>
        </xdr:from>
        <xdr:to>
          <xdr:col>0</xdr:col>
          <xdr:colOff>3600450</xdr:colOff>
          <xdr:row>0</xdr:row>
          <xdr:rowOff>203200</xdr:rowOff>
        </xdr:to>
        <xdr:sp macro="" textlink="">
          <xdr:nvSpPr>
            <xdr:cNvPr id="6159" name="Button 15" hidden="1">
              <a:extLst>
                <a:ext uri="{63B3BB69-23CF-44E3-9099-C40C66FF867C}">
                  <a14:compatExt spid="_x0000_s61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Add Dependency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3613150</xdr:colOff>
          <xdr:row>0</xdr:row>
          <xdr:rowOff>0</xdr:rowOff>
        </xdr:from>
        <xdr:to>
          <xdr:col>0</xdr:col>
          <xdr:colOff>4800600</xdr:colOff>
          <xdr:row>0</xdr:row>
          <xdr:rowOff>203200</xdr:rowOff>
        </xdr:to>
        <xdr:sp macro="" textlink="">
          <xdr:nvSpPr>
            <xdr:cNvPr id="6160" name="Button 16" hidden="1">
              <a:extLst>
                <a:ext uri="{63B3BB69-23CF-44E3-9099-C40C66FF867C}">
                  <a14:compatExt spid="_x0000_s61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Add Constraint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1365250</xdr:colOff>
          <xdr:row>0</xdr:row>
          <xdr:rowOff>0</xdr:rowOff>
        </xdr:from>
        <xdr:to>
          <xdr:col>3</xdr:col>
          <xdr:colOff>2552700</xdr:colOff>
          <xdr:row>0</xdr:row>
          <xdr:rowOff>203200</xdr:rowOff>
        </xdr:to>
        <xdr:sp macro="" textlink="">
          <xdr:nvSpPr>
            <xdr:cNvPr id="6171" name="Button 27" hidden="1">
              <a:extLst>
                <a:ext uri="{63B3BB69-23CF-44E3-9099-C40C66FF867C}">
                  <a14:compatExt spid="_x0000_s61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Move Row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2565400</xdr:colOff>
          <xdr:row>0</xdr:row>
          <xdr:rowOff>0</xdr:rowOff>
        </xdr:from>
        <xdr:to>
          <xdr:col>3</xdr:col>
          <xdr:colOff>3752850</xdr:colOff>
          <xdr:row>0</xdr:row>
          <xdr:rowOff>203200</xdr:rowOff>
        </xdr:to>
        <xdr:sp macro="" textlink="">
          <xdr:nvSpPr>
            <xdr:cNvPr id="6172" name="Button 28" hidden="1">
              <a:extLst>
                <a:ext uri="{63B3BB69-23CF-44E3-9099-C40C66FF867C}">
                  <a14:compatExt spid="_x0000_s61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Move Row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6013450</xdr:colOff>
          <xdr:row>0</xdr:row>
          <xdr:rowOff>0</xdr:rowOff>
        </xdr:from>
        <xdr:to>
          <xdr:col>1</xdr:col>
          <xdr:colOff>533400</xdr:colOff>
          <xdr:row>0</xdr:row>
          <xdr:rowOff>203200</xdr:rowOff>
        </xdr:to>
        <xdr:sp macro="" textlink="">
          <xdr:nvSpPr>
            <xdr:cNvPr id="6173" name="Button 29" descr="Add Term/Definition" hidden="1">
              <a:extLst>
                <a:ext uri="{63B3BB69-23CF-44E3-9099-C40C66FF867C}">
                  <a14:compatExt spid="_x0000_s61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Add Term/Definition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4813300</xdr:colOff>
          <xdr:row>0</xdr:row>
          <xdr:rowOff>0</xdr:rowOff>
        </xdr:from>
        <xdr:to>
          <xdr:col>0</xdr:col>
          <xdr:colOff>6000750</xdr:colOff>
          <xdr:row>0</xdr:row>
          <xdr:rowOff>203200</xdr:rowOff>
        </xdr:to>
        <xdr:sp macro="" textlink="">
          <xdr:nvSpPr>
            <xdr:cNvPr id="6174" name="Button 30" hidden="1">
              <a:extLst>
                <a:ext uri="{63B3BB69-23CF-44E3-9099-C40C66FF867C}">
                  <a14:compatExt spid="_x0000_s61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Add Risk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12700</xdr:colOff>
          <xdr:row>0</xdr:row>
          <xdr:rowOff>0</xdr:rowOff>
        </xdr:from>
        <xdr:to>
          <xdr:col>3</xdr:col>
          <xdr:colOff>1200150</xdr:colOff>
          <xdr:row>0</xdr:row>
          <xdr:rowOff>203200</xdr:rowOff>
        </xdr:to>
        <xdr:sp macro="" textlink="">
          <xdr:nvSpPr>
            <xdr:cNvPr id="6177" name="Button 33" descr="Remove Selected Row" hidden="1">
              <a:extLst>
                <a:ext uri="{63B3BB69-23CF-44E3-9099-C40C66FF867C}">
                  <a14:compatExt spid="_x0000_s61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Remove Selected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546100</xdr:colOff>
          <xdr:row>0</xdr:row>
          <xdr:rowOff>0</xdr:rowOff>
        </xdr:from>
        <xdr:to>
          <xdr:col>2</xdr:col>
          <xdr:colOff>533400</xdr:colOff>
          <xdr:row>0</xdr:row>
          <xdr:rowOff>203200</xdr:rowOff>
        </xdr:to>
        <xdr:sp macro="" textlink="">
          <xdr:nvSpPr>
            <xdr:cNvPr id="6178" name="Button 34" hidden="1">
              <a:extLst>
                <a:ext uri="{63B3BB69-23CF-44E3-9099-C40C66FF867C}">
                  <a14:compatExt spid="_x0000_s61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Add Action Item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565150</xdr:colOff>
          <xdr:row>0</xdr:row>
          <xdr:rowOff>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Insert HLBR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0</xdr:row>
          <xdr:rowOff>0</xdr:rowOff>
        </xdr:from>
        <xdr:to>
          <xdr:col>2</xdr:col>
          <xdr:colOff>2012950</xdr:colOff>
          <xdr:row>0</xdr:row>
          <xdr:rowOff>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Remove HLBR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2038350</xdr:colOff>
          <xdr:row>0</xdr:row>
          <xdr:rowOff>0</xdr:rowOff>
        </xdr:from>
        <xdr:to>
          <xdr:col>4</xdr:col>
          <xdr:colOff>0</xdr:colOff>
          <xdr:row>0</xdr:row>
          <xdr:rowOff>0</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Action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6</xdr:col>
          <xdr:colOff>0</xdr:colOff>
          <xdr:row>0</xdr:row>
          <xdr:rowOff>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Action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762000</xdr:colOff>
          <xdr:row>0</xdr:row>
          <xdr:rowOff>0</xdr:rowOff>
        </xdr:from>
        <xdr:to>
          <xdr:col>2</xdr:col>
          <xdr:colOff>1962150</xdr:colOff>
          <xdr:row>0</xdr:row>
          <xdr:rowOff>0</xdr:rowOff>
        </xdr:to>
        <xdr:sp macro="" textlink="">
          <xdr:nvSpPr>
            <xdr:cNvPr id="1068" name="Button 44" hidden="1">
              <a:extLst>
                <a:ext uri="{63B3BB69-23CF-44E3-9099-C40C66FF867C}">
                  <a14:compatExt spid="_x0000_s10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Add GP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184150</xdr:colOff>
          <xdr:row>0</xdr:row>
          <xdr:rowOff>0</xdr:rowOff>
        </xdr:from>
        <xdr:to>
          <xdr:col>2</xdr:col>
          <xdr:colOff>704850</xdr:colOff>
          <xdr:row>0</xdr:row>
          <xdr:rowOff>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Insert HLBR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2038350</xdr:colOff>
          <xdr:row>0</xdr:row>
          <xdr:rowOff>0</xdr:rowOff>
        </xdr:from>
        <xdr:to>
          <xdr:col>3</xdr:col>
          <xdr:colOff>0</xdr:colOff>
          <xdr:row>0</xdr:row>
          <xdr:rowOff>0</xdr:rowOff>
        </xdr:to>
        <xdr:sp macro="" textlink="">
          <xdr:nvSpPr>
            <xdr:cNvPr id="1073" name="Button 49" hidden="1">
              <a:extLst>
                <a:ext uri="{63B3BB69-23CF-44E3-9099-C40C66FF867C}">
                  <a14:compatExt spid="_x0000_s1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Add Assumption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0</xdr:rowOff>
        </xdr:from>
        <xdr:to>
          <xdr:col>2</xdr:col>
          <xdr:colOff>717550</xdr:colOff>
          <xdr:row>0</xdr:row>
          <xdr:rowOff>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Add Dependency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0</xdr:rowOff>
        </xdr:from>
        <xdr:to>
          <xdr:col>2</xdr:col>
          <xdr:colOff>717550</xdr:colOff>
          <xdr:row>0</xdr:row>
          <xdr:rowOff>0</xdr:rowOff>
        </xdr:to>
        <xdr:sp macro="" textlink="">
          <xdr:nvSpPr>
            <xdr:cNvPr id="1084" name="Button 60" hidden="1">
              <a:extLst>
                <a:ext uri="{63B3BB69-23CF-44E3-9099-C40C66FF867C}">
                  <a14:compatExt spid="_x0000_s10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Add Constraint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774700</xdr:colOff>
          <xdr:row>0</xdr:row>
          <xdr:rowOff>0</xdr:rowOff>
        </xdr:from>
        <xdr:to>
          <xdr:col>2</xdr:col>
          <xdr:colOff>1974850</xdr:colOff>
          <xdr:row>0</xdr:row>
          <xdr:rowOff>0</xdr:rowOff>
        </xdr:to>
        <xdr:sp macro="" textlink="">
          <xdr:nvSpPr>
            <xdr:cNvPr id="1085" name="Button 61" hidden="1">
              <a:extLst>
                <a:ext uri="{63B3BB69-23CF-44E3-9099-C40C66FF867C}">
                  <a14:compatExt spid="_x0000_s10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Convert to  GP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0</xdr:row>
          <xdr:rowOff>0</xdr:rowOff>
        </xdr:from>
        <xdr:to>
          <xdr:col>2</xdr:col>
          <xdr:colOff>1676400</xdr:colOff>
          <xdr:row>0</xdr:row>
          <xdr:rowOff>0</xdr:rowOff>
        </xdr:to>
        <xdr:sp macro="" textlink="">
          <xdr:nvSpPr>
            <xdr:cNvPr id="1087" name="Button 63" hidden="1">
              <a:extLst>
                <a:ext uri="{63B3BB69-23CF-44E3-9099-C40C66FF867C}">
                  <a14:compatExt spid="_x0000_s10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Convert to Depend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0</xdr:row>
          <xdr:rowOff>0</xdr:rowOff>
        </xdr:from>
        <xdr:to>
          <xdr:col>2</xdr:col>
          <xdr:colOff>1676400</xdr:colOff>
          <xdr:row>0</xdr:row>
          <xdr:rowOff>0</xdr:rowOff>
        </xdr:to>
        <xdr:sp macro="" textlink="">
          <xdr:nvSpPr>
            <xdr:cNvPr id="1088" name="Button 64" hidden="1">
              <a:extLst>
                <a:ext uri="{63B3BB69-23CF-44E3-9099-C40C66FF867C}">
                  <a14:compatExt spid="_x0000_s10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Convert to Consts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8</xdr:col>
          <xdr:colOff>0</xdr:colOff>
          <xdr:row>0</xdr:row>
          <xdr:rowOff>0</xdr:rowOff>
        </xdr:to>
        <xdr:sp macro="" textlink="">
          <xdr:nvSpPr>
            <xdr:cNvPr id="1091" name="Button 67" hidden="1">
              <a:extLst>
                <a:ext uri="{63B3BB69-23CF-44E3-9099-C40C66FF867C}">
                  <a14:compatExt spid="_x0000_s10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Remove Detail RQ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184150</xdr:colOff>
          <xdr:row>0</xdr:row>
          <xdr:rowOff>0</xdr:rowOff>
        </xdr:from>
        <xdr:to>
          <xdr:col>2</xdr:col>
          <xdr:colOff>704850</xdr:colOff>
          <xdr:row>0</xdr:row>
          <xdr:rowOff>0</xdr:rowOff>
        </xdr:to>
        <xdr:sp macro="" textlink="">
          <xdr:nvSpPr>
            <xdr:cNvPr id="1107" name="Button 83" hidden="1">
              <a:extLst>
                <a:ext uri="{63B3BB69-23CF-44E3-9099-C40C66FF867C}">
                  <a14:compatExt spid="_x0000_s11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Remove HLBR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8</xdr:col>
          <xdr:colOff>0</xdr:colOff>
          <xdr:row>0</xdr:row>
          <xdr:rowOff>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Add Detail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8</xdr:col>
          <xdr:colOff>0</xdr:colOff>
          <xdr:row>0</xdr:row>
          <xdr:rowOff>0</xdr:rowOff>
        </xdr:to>
        <xdr:sp macro="" textlink="">
          <xdr:nvSpPr>
            <xdr:cNvPr id="1122" name="Button 98" hidden="1">
              <a:extLst>
                <a:ext uri="{63B3BB69-23CF-44E3-9099-C40C66FF867C}">
                  <a14:compatExt spid="_x0000_s1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Add Detail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0</xdr:rowOff>
        </xdr:from>
        <xdr:to>
          <xdr:col>2</xdr:col>
          <xdr:colOff>431800</xdr:colOff>
          <xdr:row>0</xdr:row>
          <xdr:rowOff>0</xdr:rowOff>
        </xdr:to>
        <xdr:sp macro="" textlink="">
          <xdr:nvSpPr>
            <xdr:cNvPr id="1126" name="Button 102" hidden="1">
              <a:extLst>
                <a:ext uri="{63B3BB69-23CF-44E3-9099-C40C66FF867C}">
                  <a14:compatExt spid="_x0000_s11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Add GP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184150</xdr:colOff>
          <xdr:row>0</xdr:row>
          <xdr:rowOff>0</xdr:rowOff>
        </xdr:from>
        <xdr:to>
          <xdr:col>2</xdr:col>
          <xdr:colOff>419100</xdr:colOff>
          <xdr:row>0</xdr:row>
          <xdr:rowOff>0</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Insert HLBR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488950</xdr:colOff>
          <xdr:row>0</xdr:row>
          <xdr:rowOff>0</xdr:rowOff>
        </xdr:from>
        <xdr:to>
          <xdr:col>2</xdr:col>
          <xdr:colOff>1390650</xdr:colOff>
          <xdr:row>0</xdr:row>
          <xdr:rowOff>0</xdr:rowOff>
        </xdr:to>
        <xdr:sp macro="" textlink="">
          <xdr:nvSpPr>
            <xdr:cNvPr id="1132" name="Button 108" hidden="1">
              <a:extLst>
                <a:ext uri="{63B3BB69-23CF-44E3-9099-C40C66FF867C}">
                  <a14:compatExt spid="_x0000_s11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Convert to  GP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0</xdr:row>
          <xdr:rowOff>0</xdr:rowOff>
        </xdr:from>
        <xdr:to>
          <xdr:col>2</xdr:col>
          <xdr:colOff>1403350</xdr:colOff>
          <xdr:row>0</xdr:row>
          <xdr:rowOff>0</xdr:rowOff>
        </xdr:to>
        <xdr:sp macro="" textlink="">
          <xdr:nvSpPr>
            <xdr:cNvPr id="1133" name="Button 109" hidden="1">
              <a:extLst>
                <a:ext uri="{63B3BB69-23CF-44E3-9099-C40C66FF867C}">
                  <a14:compatExt spid="_x0000_s11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Convert to Assump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0</xdr:row>
          <xdr:rowOff>0</xdr:rowOff>
        </xdr:from>
        <xdr:to>
          <xdr:col>2</xdr:col>
          <xdr:colOff>1403350</xdr:colOff>
          <xdr:row>0</xdr:row>
          <xdr:rowOff>0</xdr:rowOff>
        </xdr:to>
        <xdr:sp macro="" textlink="">
          <xdr:nvSpPr>
            <xdr:cNvPr id="1134" name="Button 110" hidden="1">
              <a:extLst>
                <a:ext uri="{63B3BB69-23CF-44E3-9099-C40C66FF867C}">
                  <a14:compatExt spid="_x0000_s11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Convert to Depend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0</xdr:row>
          <xdr:rowOff>0</xdr:rowOff>
        </xdr:from>
        <xdr:to>
          <xdr:col>2</xdr:col>
          <xdr:colOff>1403350</xdr:colOff>
          <xdr:row>0</xdr:row>
          <xdr:rowOff>0</xdr:rowOff>
        </xdr:to>
        <xdr:sp macro="" textlink="">
          <xdr:nvSpPr>
            <xdr:cNvPr id="1135" name="Button 111" hidden="1">
              <a:extLst>
                <a:ext uri="{63B3BB69-23CF-44E3-9099-C40C66FF867C}">
                  <a14:compatExt spid="_x0000_s11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Convert to Consts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1498600</xdr:colOff>
          <xdr:row>0</xdr:row>
          <xdr:rowOff>0</xdr:rowOff>
        </xdr:from>
        <xdr:to>
          <xdr:col>2</xdr:col>
          <xdr:colOff>2336800</xdr:colOff>
          <xdr:row>0</xdr:row>
          <xdr:rowOff>0</xdr:rowOff>
        </xdr:to>
        <xdr:sp macro="" textlink="">
          <xdr:nvSpPr>
            <xdr:cNvPr id="1136" name="Button 112" hidden="1">
              <a:extLst>
                <a:ext uri="{63B3BB69-23CF-44E3-9099-C40C66FF867C}">
                  <a14:compatExt spid="_x0000_s11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Remove Detail RQ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514350</xdr:colOff>
          <xdr:row>0</xdr:row>
          <xdr:rowOff>0</xdr:rowOff>
        </xdr:from>
        <xdr:to>
          <xdr:col>4</xdr:col>
          <xdr:colOff>514350</xdr:colOff>
          <xdr:row>0</xdr:row>
          <xdr:rowOff>0</xdr:rowOff>
        </xdr:to>
        <xdr:sp macro="" textlink="">
          <xdr:nvSpPr>
            <xdr:cNvPr id="1137" name="Button 113" hidden="1">
              <a:extLst>
                <a:ext uri="{63B3BB69-23CF-44E3-9099-C40C66FF867C}">
                  <a14:compatExt spid="_x0000_s11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Action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2438400</xdr:colOff>
          <xdr:row>0</xdr:row>
          <xdr:rowOff>0</xdr:rowOff>
        </xdr:from>
        <xdr:to>
          <xdr:col>3</xdr:col>
          <xdr:colOff>0</xdr:colOff>
          <xdr:row>0</xdr:row>
          <xdr:rowOff>0</xdr:rowOff>
        </xdr:to>
        <xdr:sp macro="" textlink="">
          <xdr:nvSpPr>
            <xdr:cNvPr id="1138" name="Button 114" hidden="1">
              <a:extLst>
                <a:ext uri="{63B3BB69-23CF-44E3-9099-C40C66FF867C}">
                  <a14:compatExt spid="_x0000_s11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Go to Terms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514350</xdr:colOff>
          <xdr:row>0</xdr:row>
          <xdr:rowOff>0</xdr:rowOff>
        </xdr:from>
        <xdr:to>
          <xdr:col>4</xdr:col>
          <xdr:colOff>514350</xdr:colOff>
          <xdr:row>0</xdr:row>
          <xdr:rowOff>0</xdr:rowOff>
        </xdr:to>
        <xdr:sp macro="" textlink="">
          <xdr:nvSpPr>
            <xdr:cNvPr id="1139" name="Button 115" hidden="1">
              <a:extLst>
                <a:ext uri="{63B3BB69-23CF-44E3-9099-C40C66FF867C}">
                  <a14:compatExt spid="_x0000_s11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438150</xdr:colOff>
          <xdr:row>0</xdr:row>
          <xdr:rowOff>0</xdr:rowOff>
        </xdr:to>
        <xdr:sp macro="" textlink="">
          <xdr:nvSpPr>
            <xdr:cNvPr id="1140" name="Button 116" hidden="1">
              <a:extLst>
                <a:ext uri="{63B3BB69-23CF-44E3-9099-C40C66FF867C}">
                  <a14:compatExt spid="_x0000_s11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Removed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438150</xdr:colOff>
          <xdr:row>0</xdr:row>
          <xdr:rowOff>0</xdr:rowOff>
        </xdr:to>
        <xdr:sp macro="" textlink="">
          <xdr:nvSpPr>
            <xdr:cNvPr id="1141" name="Button 117" hidden="1">
              <a:extLst>
                <a:ext uri="{63B3BB69-23CF-44E3-9099-C40C66FF867C}">
                  <a14:compatExt spid="_x0000_s11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Flows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2438400</xdr:colOff>
          <xdr:row>0</xdr:row>
          <xdr:rowOff>0</xdr:rowOff>
        </xdr:from>
        <xdr:to>
          <xdr:col>3</xdr:col>
          <xdr:colOff>0</xdr:colOff>
          <xdr:row>0</xdr:row>
          <xdr:rowOff>0</xdr:rowOff>
        </xdr:to>
        <xdr:sp macro="" textlink="">
          <xdr:nvSpPr>
            <xdr:cNvPr id="1142" name="Button 118" hidden="1">
              <a:extLst>
                <a:ext uri="{63B3BB69-23CF-44E3-9099-C40C66FF867C}">
                  <a14:compatExt spid="_x0000_s11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Go To GP, A, D, 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488950</xdr:colOff>
          <xdr:row>0</xdr:row>
          <xdr:rowOff>0</xdr:rowOff>
        </xdr:from>
        <xdr:to>
          <xdr:col>2</xdr:col>
          <xdr:colOff>1390650</xdr:colOff>
          <xdr:row>0</xdr:row>
          <xdr:rowOff>0</xdr:rowOff>
        </xdr:to>
        <xdr:sp macro="" textlink="">
          <xdr:nvSpPr>
            <xdr:cNvPr id="1143" name="Button 119" hidden="1">
              <a:extLst>
                <a:ext uri="{63B3BB69-23CF-44E3-9099-C40C66FF867C}">
                  <a14:compatExt spid="_x0000_s11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Remove HLBR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1479550</xdr:colOff>
          <xdr:row>0</xdr:row>
          <xdr:rowOff>0</xdr:rowOff>
        </xdr:from>
        <xdr:to>
          <xdr:col>2</xdr:col>
          <xdr:colOff>2317750</xdr:colOff>
          <xdr:row>0</xdr:row>
          <xdr:rowOff>0</xdr:rowOff>
        </xdr:to>
        <xdr:sp macro="" textlink="">
          <xdr:nvSpPr>
            <xdr:cNvPr id="1144" name="Button 120" hidden="1">
              <a:extLst>
                <a:ext uri="{63B3BB69-23CF-44E3-9099-C40C66FF867C}">
                  <a14:compatExt spid="_x0000_s11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Add Detail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1498600</xdr:colOff>
          <xdr:row>0</xdr:row>
          <xdr:rowOff>0</xdr:rowOff>
        </xdr:from>
        <xdr:to>
          <xdr:col>2</xdr:col>
          <xdr:colOff>2336800</xdr:colOff>
          <xdr:row>0</xdr:row>
          <xdr:rowOff>0</xdr:rowOff>
        </xdr:to>
        <xdr:sp macro="" textlink="">
          <xdr:nvSpPr>
            <xdr:cNvPr id="1145" name="Button 121" hidden="1">
              <a:extLst>
                <a:ext uri="{63B3BB69-23CF-44E3-9099-C40C66FF867C}">
                  <a14:compatExt spid="_x0000_s1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Add Detail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2032000</xdr:colOff>
          <xdr:row>0</xdr:row>
          <xdr:rowOff>0</xdr:rowOff>
        </xdr:from>
        <xdr:to>
          <xdr:col>3</xdr:col>
          <xdr:colOff>0</xdr:colOff>
          <xdr:row>0</xdr:row>
          <xdr:rowOff>0</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Add Assumption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2057400</xdr:colOff>
          <xdr:row>0</xdr:row>
          <xdr:rowOff>0</xdr:rowOff>
        </xdr:from>
        <xdr:to>
          <xdr:col>3</xdr:col>
          <xdr:colOff>0</xdr:colOff>
          <xdr:row>0</xdr:row>
          <xdr:rowOff>0</xdr:rowOff>
        </xdr:to>
        <xdr:sp macro="" textlink="">
          <xdr:nvSpPr>
            <xdr:cNvPr id="1174" name="Button 150" hidden="1">
              <a:extLst>
                <a:ext uri="{63B3BB69-23CF-44E3-9099-C40C66FF867C}">
                  <a14:compatExt spid="_x0000_s1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Convert to Assump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469900</xdr:colOff>
          <xdr:row>0</xdr:row>
          <xdr:rowOff>12700</xdr:rowOff>
        </xdr:from>
        <xdr:to>
          <xdr:col>2</xdr:col>
          <xdr:colOff>469900</xdr:colOff>
          <xdr:row>0</xdr:row>
          <xdr:rowOff>209550</xdr:rowOff>
        </xdr:to>
        <xdr:sp macro="" textlink="">
          <xdr:nvSpPr>
            <xdr:cNvPr id="1175" name="Button 151" hidden="1">
              <a:extLst>
                <a:ext uri="{63B3BB69-23CF-44E3-9099-C40C66FF867C}">
                  <a14:compatExt spid="_x0000_s11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Add GP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12700</xdr:rowOff>
        </xdr:from>
        <xdr:to>
          <xdr:col>1</xdr:col>
          <xdr:colOff>457200</xdr:colOff>
          <xdr:row>0</xdr:row>
          <xdr:rowOff>209550</xdr:rowOff>
        </xdr:to>
        <xdr:sp macro="" textlink="">
          <xdr:nvSpPr>
            <xdr:cNvPr id="1176" name="Button 152" hidden="1">
              <a:extLst>
                <a:ext uri="{63B3BB69-23CF-44E3-9099-C40C66FF867C}">
                  <a14:compatExt spid="_x0000_s11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Insert HLBR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1403350</xdr:colOff>
          <xdr:row>0</xdr:row>
          <xdr:rowOff>12700</xdr:rowOff>
        </xdr:from>
        <xdr:to>
          <xdr:col>3</xdr:col>
          <xdr:colOff>2584450</xdr:colOff>
          <xdr:row>0</xdr:row>
          <xdr:rowOff>209550</xdr:rowOff>
        </xdr:to>
        <xdr:sp macro="" textlink="">
          <xdr:nvSpPr>
            <xdr:cNvPr id="1179" name="Button 155" hidden="1">
              <a:extLst>
                <a:ext uri="{63B3BB69-23CF-44E3-9099-C40C66FF867C}">
                  <a14:compatExt spid="_x0000_s1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Add Constraint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469900</xdr:colOff>
          <xdr:row>0</xdr:row>
          <xdr:rowOff>222250</xdr:rowOff>
        </xdr:from>
        <xdr:to>
          <xdr:col>2</xdr:col>
          <xdr:colOff>469900</xdr:colOff>
          <xdr:row>0</xdr:row>
          <xdr:rowOff>419100</xdr:rowOff>
        </xdr:to>
        <xdr:sp macro="" textlink="">
          <xdr:nvSpPr>
            <xdr:cNvPr id="1180" name="Button 156" hidden="1">
              <a:extLst>
                <a:ext uri="{63B3BB69-23CF-44E3-9099-C40C66FF867C}">
                  <a14:compatExt spid="_x0000_s1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Convert to GP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222250</xdr:rowOff>
        </xdr:from>
        <xdr:to>
          <xdr:col>3</xdr:col>
          <xdr:colOff>1384300</xdr:colOff>
          <xdr:row>0</xdr:row>
          <xdr:rowOff>419100</xdr:rowOff>
        </xdr:to>
        <xdr:sp macro="" textlink="">
          <xdr:nvSpPr>
            <xdr:cNvPr id="1181" name="Button 157" hidden="1">
              <a:extLst>
                <a:ext uri="{63B3BB69-23CF-44E3-9099-C40C66FF867C}">
                  <a14:compatExt spid="_x0000_s1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Convert to Dependency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1403350</xdr:colOff>
          <xdr:row>0</xdr:row>
          <xdr:rowOff>222250</xdr:rowOff>
        </xdr:from>
        <xdr:to>
          <xdr:col>3</xdr:col>
          <xdr:colOff>2584450</xdr:colOff>
          <xdr:row>0</xdr:row>
          <xdr:rowOff>419100</xdr:rowOff>
        </xdr:to>
        <xdr:sp macro="" textlink="">
          <xdr:nvSpPr>
            <xdr:cNvPr id="1182" name="Button 158" hidden="1">
              <a:extLst>
                <a:ext uri="{63B3BB69-23CF-44E3-9099-C40C66FF867C}">
                  <a14:compatExt spid="_x0000_s1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Convert to Constraint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222250</xdr:rowOff>
        </xdr:from>
        <xdr:to>
          <xdr:col>1</xdr:col>
          <xdr:colOff>457200</xdr:colOff>
          <xdr:row>0</xdr:row>
          <xdr:rowOff>419100</xdr:rowOff>
        </xdr:to>
        <xdr:sp macro="" textlink="">
          <xdr:nvSpPr>
            <xdr:cNvPr id="1184" name="Button 160" hidden="1">
              <a:extLst>
                <a:ext uri="{63B3BB69-23CF-44E3-9099-C40C66FF867C}">
                  <a14:compatExt spid="_x0000_s1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Remove HLBR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476250</xdr:colOff>
          <xdr:row>0</xdr:row>
          <xdr:rowOff>12700</xdr:rowOff>
        </xdr:from>
        <xdr:to>
          <xdr:col>3</xdr:col>
          <xdr:colOff>190500</xdr:colOff>
          <xdr:row>0</xdr:row>
          <xdr:rowOff>209550</xdr:rowOff>
        </xdr:to>
        <xdr:sp macro="" textlink="">
          <xdr:nvSpPr>
            <xdr:cNvPr id="1187" name="Button 163" hidden="1">
              <a:extLst>
                <a:ext uri="{63B3BB69-23CF-44E3-9099-C40C66FF867C}">
                  <a14:compatExt spid="_x0000_s11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Add Assumption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476250</xdr:colOff>
          <xdr:row>0</xdr:row>
          <xdr:rowOff>222250</xdr:rowOff>
        </xdr:from>
        <xdr:to>
          <xdr:col>3</xdr:col>
          <xdr:colOff>190500</xdr:colOff>
          <xdr:row>0</xdr:row>
          <xdr:rowOff>419100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Convert to Assumption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12700</xdr:rowOff>
        </xdr:from>
        <xdr:to>
          <xdr:col>3</xdr:col>
          <xdr:colOff>1384300</xdr:colOff>
          <xdr:row>0</xdr:row>
          <xdr:rowOff>209550</xdr:rowOff>
        </xdr:to>
        <xdr:sp macro="" textlink="">
          <xdr:nvSpPr>
            <xdr:cNvPr id="1189" name="Button 165" hidden="1">
              <a:extLst>
                <a:ext uri="{63B3BB69-23CF-44E3-9099-C40C66FF867C}">
                  <a14:compatExt spid="_x0000_s11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Add Dependency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0</xdr:row>
          <xdr:rowOff>222250</xdr:rowOff>
        </xdr:from>
        <xdr:to>
          <xdr:col>4</xdr:col>
          <xdr:colOff>1212850</xdr:colOff>
          <xdr:row>0</xdr:row>
          <xdr:rowOff>419100</xdr:rowOff>
        </xdr:to>
        <xdr:sp macro="" textlink="">
          <xdr:nvSpPr>
            <xdr:cNvPr id="1190" name="Button 166" hidden="1">
              <a:extLst>
                <a:ext uri="{63B3BB69-23CF-44E3-9099-C40C66FF867C}">
                  <a14:compatExt spid="_x0000_s11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Add Action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1219200</xdr:colOff>
          <xdr:row>0</xdr:row>
          <xdr:rowOff>12700</xdr:rowOff>
        </xdr:from>
        <xdr:to>
          <xdr:col>4</xdr:col>
          <xdr:colOff>2400300</xdr:colOff>
          <xdr:row>0</xdr:row>
          <xdr:rowOff>209550</xdr:rowOff>
        </xdr:to>
        <xdr:sp macro="" textlink="">
          <xdr:nvSpPr>
            <xdr:cNvPr id="1198" name="Button 174" hidden="1">
              <a:extLst>
                <a:ext uri="{63B3BB69-23CF-44E3-9099-C40C66FF867C}">
                  <a14:compatExt spid="_x0000_s119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Move Row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1219200</xdr:colOff>
          <xdr:row>0</xdr:row>
          <xdr:rowOff>222250</xdr:rowOff>
        </xdr:from>
        <xdr:to>
          <xdr:col>4</xdr:col>
          <xdr:colOff>2400300</xdr:colOff>
          <xdr:row>0</xdr:row>
          <xdr:rowOff>419100</xdr:rowOff>
        </xdr:to>
        <xdr:sp macro="" textlink="">
          <xdr:nvSpPr>
            <xdr:cNvPr id="1199" name="Button 175" hidden="1">
              <a:extLst>
                <a:ext uri="{63B3BB69-23CF-44E3-9099-C40C66FF867C}">
                  <a14:compatExt spid="_x0000_s11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Move Row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0</xdr:row>
          <xdr:rowOff>12700</xdr:rowOff>
        </xdr:from>
        <xdr:to>
          <xdr:col>4</xdr:col>
          <xdr:colOff>1212850</xdr:colOff>
          <xdr:row>0</xdr:row>
          <xdr:rowOff>209550</xdr:rowOff>
        </xdr:to>
        <xdr:sp macro="" textlink="">
          <xdr:nvSpPr>
            <xdr:cNvPr id="1206" name="Button 182" descr="Add Term/Definition" hidden="1">
              <a:extLst>
                <a:ext uri="{63B3BB69-23CF-44E3-9099-C40C66FF867C}">
                  <a14:compatExt spid="_x0000_s12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Add Term/Definition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2413000</xdr:colOff>
          <xdr:row>0</xdr:row>
          <xdr:rowOff>222250</xdr:rowOff>
        </xdr:from>
        <xdr:to>
          <xdr:col>5</xdr:col>
          <xdr:colOff>571500</xdr:colOff>
          <xdr:row>0</xdr:row>
          <xdr:rowOff>419100</xdr:rowOff>
        </xdr:to>
        <xdr:sp macro="" textlink="">
          <xdr:nvSpPr>
            <xdr:cNvPr id="1215" name="Button 191" hidden="1">
              <a:extLst>
                <a:ext uri="{63B3BB69-23CF-44E3-9099-C40C66FF867C}">
                  <a14:compatExt spid="_x0000_s12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Create STD OBA BRD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2413000</xdr:colOff>
          <xdr:row>0</xdr:row>
          <xdr:rowOff>12700</xdr:rowOff>
        </xdr:from>
        <xdr:to>
          <xdr:col>5</xdr:col>
          <xdr:colOff>571500</xdr:colOff>
          <xdr:row>0</xdr:row>
          <xdr:rowOff>209550</xdr:rowOff>
        </xdr:to>
        <xdr:sp macro="" textlink="">
          <xdr:nvSpPr>
            <xdr:cNvPr id="1219" name="Button 195" hidden="1">
              <a:extLst>
                <a:ext uri="{63B3BB69-23CF-44E3-9099-C40C66FF867C}">
                  <a14:compatExt spid="_x0000_s12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Add New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0</xdr:row>
          <xdr:rowOff>12700</xdr:rowOff>
        </xdr:from>
        <xdr:to>
          <xdr:col>6</xdr:col>
          <xdr:colOff>361950</xdr:colOff>
          <xdr:row>0</xdr:row>
          <xdr:rowOff>419100</xdr:rowOff>
        </xdr:to>
        <xdr:sp macro="" textlink="">
          <xdr:nvSpPr>
            <xdr:cNvPr id="1224" name="Button 200" descr="Load All Requirements to Mapping Worksheet" hidden="1">
              <a:extLst>
                <a:ext uri="{63B3BB69-23CF-44E3-9099-C40C66FF867C}">
                  <a14:compatExt spid="_x0000_s1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Load All Requirements to Mapping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2590800</xdr:colOff>
          <xdr:row>0</xdr:row>
          <xdr:rowOff>12700</xdr:rowOff>
        </xdr:from>
        <xdr:to>
          <xdr:col>4</xdr:col>
          <xdr:colOff>19050</xdr:colOff>
          <xdr:row>0</xdr:row>
          <xdr:rowOff>209550</xdr:rowOff>
        </xdr:to>
        <xdr:sp macro="" textlink="">
          <xdr:nvSpPr>
            <xdr:cNvPr id="1254" name="Button 230" hidden="1">
              <a:extLst>
                <a:ext uri="{63B3BB69-23CF-44E3-9099-C40C66FF867C}">
                  <a14:compatExt spid="_x0000_s12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Add Risk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2590800</xdr:colOff>
          <xdr:row>0</xdr:row>
          <xdr:rowOff>222250</xdr:rowOff>
        </xdr:from>
        <xdr:to>
          <xdr:col>4</xdr:col>
          <xdr:colOff>19050</xdr:colOff>
          <xdr:row>0</xdr:row>
          <xdr:rowOff>419100</xdr:rowOff>
        </xdr:to>
        <xdr:sp macro="" textlink="">
          <xdr:nvSpPr>
            <xdr:cNvPr id="1255" name="Button 231" hidden="1">
              <a:extLst>
                <a:ext uri="{63B3BB69-23CF-44E3-9099-C40C66FF867C}">
                  <a14:compatExt spid="_x0000_s12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cs typeface="Calibri"/>
                </a:rPr>
                <a:t>Convert to Risk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12700</xdr:rowOff>
        </xdr:from>
        <xdr:to>
          <xdr:col>0</xdr:col>
          <xdr:colOff>1104900</xdr:colOff>
          <xdr:row>1</xdr:row>
          <xdr:rowOff>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Repeat Requirement to Map an Additional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1422400</xdr:colOff>
          <xdr:row>1</xdr:row>
          <xdr:rowOff>12700</xdr:rowOff>
        </xdr:from>
        <xdr:to>
          <xdr:col>5</xdr:col>
          <xdr:colOff>2794000</xdr:colOff>
          <xdr:row>1</xdr:row>
          <xdr:rowOff>228600</xdr:rowOff>
        </xdr:to>
        <xdr:sp macro="" textlink="">
          <xdr:nvSpPr>
            <xdr:cNvPr id="8203" name="Button 11" descr="Move Up" hidden="1">
              <a:extLst>
                <a:ext uri="{63B3BB69-23CF-44E3-9099-C40C66FF867C}">
                  <a14:compatExt spid="_x0000_s820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Move Row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2813050</xdr:colOff>
          <xdr:row>1</xdr:row>
          <xdr:rowOff>12700</xdr:rowOff>
        </xdr:from>
        <xdr:to>
          <xdr:col>5</xdr:col>
          <xdr:colOff>4184650</xdr:colOff>
          <xdr:row>1</xdr:row>
          <xdr:rowOff>228600</xdr:rowOff>
        </xdr:to>
        <xdr:sp macro="" textlink="">
          <xdr:nvSpPr>
            <xdr:cNvPr id="8204" name="Button 12" hidden="1">
              <a:extLst>
                <a:ext uri="{63B3BB69-23CF-44E3-9099-C40C66FF867C}">
                  <a14:compatExt spid="_x0000_s820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Move Row Down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harepoint.auth.wellpoint.com/sites/babw_discovery/BRM/Shared%20Discovery%20Resources/Discovery%20Impacted%20Systems%20Template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Requirements Mapping"/>
      <sheetName val="Impacted Systems List"/>
      <sheetName val="Component &amp; Complexity"/>
      <sheetName val="Drop Down Lists"/>
      <sheetName val="OBA"/>
      <sheetName val="Sheet1"/>
      <sheetName val="IS_Impacted_Systems_List"/>
      <sheetName val="List"/>
    </sheetNames>
    <sheetDataSet>
      <sheetData sheetId="0"/>
      <sheetData sheetId="1"/>
      <sheetData sheetId="2"/>
      <sheetData sheetId="3">
        <row r="2">
          <cell r="A2" t="str">
            <v>Batch Programs</v>
          </cell>
          <cell r="B2" t="str">
            <v>1-Low</v>
          </cell>
        </row>
        <row r="3">
          <cell r="A3" t="str">
            <v>BI Objects</v>
          </cell>
          <cell r="B3" t="str">
            <v>2-Low</v>
          </cell>
        </row>
        <row r="4">
          <cell r="A4" t="str">
            <v>Business Logic Components</v>
          </cell>
          <cell r="B4" t="str">
            <v>3-Medium</v>
          </cell>
        </row>
        <row r="5">
          <cell r="A5" t="str">
            <v>Common/Utility Services</v>
          </cell>
          <cell r="B5" t="str">
            <v>4-Medium</v>
          </cell>
        </row>
        <row r="6">
          <cell r="A6" t="str">
            <v>COTS Configuration</v>
          </cell>
          <cell r="B6" t="str">
            <v>5-High</v>
          </cell>
        </row>
        <row r="7">
          <cell r="A7" t="str">
            <v>Dashboards</v>
          </cell>
          <cell r="B7" t="str">
            <v>6-High</v>
          </cell>
        </row>
        <row r="8">
          <cell r="A8" t="str">
            <v>Data Conversion Programs</v>
          </cell>
        </row>
        <row r="9">
          <cell r="A9" t="str">
            <v>Data Logic Components</v>
          </cell>
        </row>
        <row r="10">
          <cell r="A10" t="str">
            <v>Data Marts</v>
          </cell>
        </row>
        <row r="11">
          <cell r="A11" t="str">
            <v>Data Models</v>
          </cell>
        </row>
        <row r="12">
          <cell r="A12" t="str">
            <v>ETL programs</v>
          </cell>
        </row>
        <row r="13">
          <cell r="A13" t="str">
            <v>Infogix Controls</v>
          </cell>
        </row>
        <row r="14">
          <cell r="A14" t="str">
            <v>Interfaces</v>
          </cell>
        </row>
        <row r="15">
          <cell r="A15" t="str">
            <v>Planview</v>
          </cell>
        </row>
        <row r="16">
          <cell r="A16" t="str">
            <v>Presentation Components / Screens</v>
          </cell>
        </row>
        <row r="17">
          <cell r="A17" t="str">
            <v>Reports</v>
          </cell>
        </row>
        <row r="18">
          <cell r="A18" t="str">
            <v>Stored Procedures</v>
          </cell>
        </row>
        <row r="19">
          <cell r="A19" t="str">
            <v>Tables</v>
          </cell>
        </row>
        <row r="20">
          <cell r="A20" t="str">
            <v>Testing</v>
          </cell>
        </row>
      </sheetData>
      <sheetData sheetId="4" refreshError="1"/>
      <sheetData sheetId="5" refreshError="1"/>
      <sheetData sheetId="6" refreshError="1"/>
      <sheetData sheetId="7" refreshError="1"/>
      <sheetData sheetId="8" refreshError="1"/>
    </sheetDataSet>
  </externalBook>
</externalLink>
</file>

<file path=xl/queryTables/queryTable1.xml><?xml version="1.0" encoding="utf-8"?>
<queryTable xmlns="http://schemas.openxmlformats.org/spreadsheetml/2006/main" name="terms"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jira.atlassian.com/secure/WikiRendererHelpAction.jspa?section=all" TargetMode="External"/><Relationship Id="rId7" Type="http://schemas.openxmlformats.org/officeDocument/2006/relationships/ctrlProp" Target="../ctrlProps/ctrlProp1.xml"/><Relationship Id="rId2" Type="http://schemas.openxmlformats.org/officeDocument/2006/relationships/hyperlink" Target="https://share.antheminc.com/sites/babw_discovery/BRM/Shared%20Discovery%20Resources/PROJECT%20NAME%20-%20BRD%20Initiation.xlsm" TargetMode="External"/><Relationship Id="rId1" Type="http://schemas.openxmlformats.org/officeDocument/2006/relationships/hyperlink" Target="https://share.antheminc.com/sites/babw_discovery/BRM/Shared%20Discovery%20Resources/PROJECT%20NAME%20-%20BRD%20Initiation.xls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hyperlink" Target="https://share.antheminc.com/sites/SEGov/Initiation%20Project%20Docs/One%20Anthem/Medicaid%20New-Existing%20Markets%20Growth/WV%20Foster%20Care%202020/WV%20Foster%20Care%202020%20-%20Kickoff.pptx" TargetMode="External"/><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share.antheminc.com/sites/SEGov/Lists/Small%20Enhancement%20Request/DispForm.aspx?ID=50329" TargetMode="External"/><Relationship Id="rId16" Type="http://schemas.openxmlformats.org/officeDocument/2006/relationships/comments" Target="../comments2.xml"/><Relationship Id="rId1" Type="http://schemas.openxmlformats.org/officeDocument/2006/relationships/hyperlink" Target="https://confluence.anthem.com/display/PI/Find+the+Initiative+Issue+Type%27s+Information+in+JIRA+by+CWI+Work+ID+or+Wave+ID" TargetMode="External"/><Relationship Id="rId6" Type="http://schemas.openxmlformats.org/officeDocument/2006/relationships/vmlDrawing" Target="../drawings/vmlDrawing2.vml"/><Relationship Id="rId11" Type="http://schemas.openxmlformats.org/officeDocument/2006/relationships/ctrlProp" Target="../ctrlProps/ctrlProp6.xml"/><Relationship Id="rId5" Type="http://schemas.openxmlformats.org/officeDocument/2006/relationships/drawing" Target="../drawings/drawing2.xml"/><Relationship Id="rId15" Type="http://schemas.openxmlformats.org/officeDocument/2006/relationships/queryTable" Target="../queryTables/queryTable1.xml"/><Relationship Id="rId10" Type="http://schemas.openxmlformats.org/officeDocument/2006/relationships/ctrlProp" Target="../ctrlProps/ctrlProp5.xml"/><Relationship Id="rId4" Type="http://schemas.openxmlformats.org/officeDocument/2006/relationships/printerSettings" Target="../printerSettings/printerSettings2.bin"/><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drawing" Target="../drawings/drawing3.x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vmlDrawing" Target="../drawings/vmlDrawing3.v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8.xml"/><Relationship Id="rId18" Type="http://schemas.openxmlformats.org/officeDocument/2006/relationships/ctrlProp" Target="../ctrlProps/ctrlProp33.xml"/><Relationship Id="rId26" Type="http://schemas.openxmlformats.org/officeDocument/2006/relationships/ctrlProp" Target="../ctrlProps/ctrlProp41.xml"/><Relationship Id="rId39" Type="http://schemas.openxmlformats.org/officeDocument/2006/relationships/ctrlProp" Target="../ctrlProps/ctrlProp54.xml"/><Relationship Id="rId21" Type="http://schemas.openxmlformats.org/officeDocument/2006/relationships/ctrlProp" Target="../ctrlProps/ctrlProp36.xml"/><Relationship Id="rId34" Type="http://schemas.openxmlformats.org/officeDocument/2006/relationships/ctrlProp" Target="../ctrlProps/ctrlProp49.xml"/><Relationship Id="rId42" Type="http://schemas.openxmlformats.org/officeDocument/2006/relationships/ctrlProp" Target="../ctrlProps/ctrlProp57.xml"/><Relationship Id="rId47" Type="http://schemas.openxmlformats.org/officeDocument/2006/relationships/ctrlProp" Target="../ctrlProps/ctrlProp62.xml"/><Relationship Id="rId50" Type="http://schemas.openxmlformats.org/officeDocument/2006/relationships/ctrlProp" Target="../ctrlProps/ctrlProp65.xml"/><Relationship Id="rId55" Type="http://schemas.openxmlformats.org/officeDocument/2006/relationships/ctrlProp" Target="../ctrlProps/ctrlProp70.xml"/><Relationship Id="rId7" Type="http://schemas.openxmlformats.org/officeDocument/2006/relationships/ctrlProp" Target="../ctrlProps/ctrlProp22.xml"/><Relationship Id="rId12" Type="http://schemas.openxmlformats.org/officeDocument/2006/relationships/ctrlProp" Target="../ctrlProps/ctrlProp27.xml"/><Relationship Id="rId17" Type="http://schemas.openxmlformats.org/officeDocument/2006/relationships/ctrlProp" Target="../ctrlProps/ctrlProp32.xml"/><Relationship Id="rId25" Type="http://schemas.openxmlformats.org/officeDocument/2006/relationships/ctrlProp" Target="../ctrlProps/ctrlProp40.xml"/><Relationship Id="rId33" Type="http://schemas.openxmlformats.org/officeDocument/2006/relationships/ctrlProp" Target="../ctrlProps/ctrlProp48.xml"/><Relationship Id="rId38" Type="http://schemas.openxmlformats.org/officeDocument/2006/relationships/ctrlProp" Target="../ctrlProps/ctrlProp53.xml"/><Relationship Id="rId46" Type="http://schemas.openxmlformats.org/officeDocument/2006/relationships/ctrlProp" Target="../ctrlProps/ctrlProp61.xml"/><Relationship Id="rId2" Type="http://schemas.openxmlformats.org/officeDocument/2006/relationships/printerSettings" Target="../printerSettings/printerSettings8.bin"/><Relationship Id="rId16" Type="http://schemas.openxmlformats.org/officeDocument/2006/relationships/ctrlProp" Target="../ctrlProps/ctrlProp31.xml"/><Relationship Id="rId20" Type="http://schemas.openxmlformats.org/officeDocument/2006/relationships/ctrlProp" Target="../ctrlProps/ctrlProp35.xml"/><Relationship Id="rId29" Type="http://schemas.openxmlformats.org/officeDocument/2006/relationships/ctrlProp" Target="../ctrlProps/ctrlProp44.xml"/><Relationship Id="rId41" Type="http://schemas.openxmlformats.org/officeDocument/2006/relationships/ctrlProp" Target="../ctrlProps/ctrlProp56.xml"/><Relationship Id="rId54" Type="http://schemas.openxmlformats.org/officeDocument/2006/relationships/ctrlProp" Target="../ctrlProps/ctrlProp69.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11" Type="http://schemas.openxmlformats.org/officeDocument/2006/relationships/ctrlProp" Target="../ctrlProps/ctrlProp26.xml"/><Relationship Id="rId24" Type="http://schemas.openxmlformats.org/officeDocument/2006/relationships/ctrlProp" Target="../ctrlProps/ctrlProp39.xml"/><Relationship Id="rId32" Type="http://schemas.openxmlformats.org/officeDocument/2006/relationships/ctrlProp" Target="../ctrlProps/ctrlProp47.xml"/><Relationship Id="rId37" Type="http://schemas.openxmlformats.org/officeDocument/2006/relationships/ctrlProp" Target="../ctrlProps/ctrlProp52.xml"/><Relationship Id="rId40" Type="http://schemas.openxmlformats.org/officeDocument/2006/relationships/ctrlProp" Target="../ctrlProps/ctrlProp55.xml"/><Relationship Id="rId45" Type="http://schemas.openxmlformats.org/officeDocument/2006/relationships/ctrlProp" Target="../ctrlProps/ctrlProp60.xml"/><Relationship Id="rId53" Type="http://schemas.openxmlformats.org/officeDocument/2006/relationships/ctrlProp" Target="../ctrlProps/ctrlProp68.xml"/><Relationship Id="rId58" Type="http://schemas.openxmlformats.org/officeDocument/2006/relationships/comments" Target="../comments3.xml"/><Relationship Id="rId5" Type="http://schemas.openxmlformats.org/officeDocument/2006/relationships/ctrlProp" Target="../ctrlProps/ctrlProp20.xml"/><Relationship Id="rId15" Type="http://schemas.openxmlformats.org/officeDocument/2006/relationships/ctrlProp" Target="../ctrlProps/ctrlProp30.xml"/><Relationship Id="rId23" Type="http://schemas.openxmlformats.org/officeDocument/2006/relationships/ctrlProp" Target="../ctrlProps/ctrlProp38.xml"/><Relationship Id="rId28" Type="http://schemas.openxmlformats.org/officeDocument/2006/relationships/ctrlProp" Target="../ctrlProps/ctrlProp43.xml"/><Relationship Id="rId36" Type="http://schemas.openxmlformats.org/officeDocument/2006/relationships/ctrlProp" Target="../ctrlProps/ctrlProp51.xml"/><Relationship Id="rId49" Type="http://schemas.openxmlformats.org/officeDocument/2006/relationships/ctrlProp" Target="../ctrlProps/ctrlProp64.xml"/><Relationship Id="rId57" Type="http://schemas.openxmlformats.org/officeDocument/2006/relationships/ctrlProp" Target="../ctrlProps/ctrlProp72.xml"/><Relationship Id="rId10" Type="http://schemas.openxmlformats.org/officeDocument/2006/relationships/ctrlProp" Target="../ctrlProps/ctrlProp25.xml"/><Relationship Id="rId19" Type="http://schemas.openxmlformats.org/officeDocument/2006/relationships/ctrlProp" Target="../ctrlProps/ctrlProp34.xml"/><Relationship Id="rId31" Type="http://schemas.openxmlformats.org/officeDocument/2006/relationships/ctrlProp" Target="../ctrlProps/ctrlProp46.xml"/><Relationship Id="rId44" Type="http://schemas.openxmlformats.org/officeDocument/2006/relationships/ctrlProp" Target="../ctrlProps/ctrlProp59.xml"/><Relationship Id="rId52" Type="http://schemas.openxmlformats.org/officeDocument/2006/relationships/ctrlProp" Target="../ctrlProps/ctrlProp67.xml"/><Relationship Id="rId4" Type="http://schemas.openxmlformats.org/officeDocument/2006/relationships/vmlDrawing" Target="../drawings/vmlDrawing4.vml"/><Relationship Id="rId9" Type="http://schemas.openxmlformats.org/officeDocument/2006/relationships/ctrlProp" Target="../ctrlProps/ctrlProp24.xml"/><Relationship Id="rId14" Type="http://schemas.openxmlformats.org/officeDocument/2006/relationships/ctrlProp" Target="../ctrlProps/ctrlProp29.xml"/><Relationship Id="rId22" Type="http://schemas.openxmlformats.org/officeDocument/2006/relationships/ctrlProp" Target="../ctrlProps/ctrlProp37.xml"/><Relationship Id="rId27" Type="http://schemas.openxmlformats.org/officeDocument/2006/relationships/ctrlProp" Target="../ctrlProps/ctrlProp42.xml"/><Relationship Id="rId30" Type="http://schemas.openxmlformats.org/officeDocument/2006/relationships/ctrlProp" Target="../ctrlProps/ctrlProp45.xml"/><Relationship Id="rId35" Type="http://schemas.openxmlformats.org/officeDocument/2006/relationships/ctrlProp" Target="../ctrlProps/ctrlProp50.xml"/><Relationship Id="rId43" Type="http://schemas.openxmlformats.org/officeDocument/2006/relationships/ctrlProp" Target="../ctrlProps/ctrlProp58.xml"/><Relationship Id="rId48" Type="http://schemas.openxmlformats.org/officeDocument/2006/relationships/ctrlProp" Target="../ctrlProps/ctrlProp63.xml"/><Relationship Id="rId56" Type="http://schemas.openxmlformats.org/officeDocument/2006/relationships/ctrlProp" Target="../ctrlProps/ctrlProp71.xml"/><Relationship Id="rId8" Type="http://schemas.openxmlformats.org/officeDocument/2006/relationships/ctrlProp" Target="../ctrlProps/ctrlProp23.xml"/><Relationship Id="rId51" Type="http://schemas.openxmlformats.org/officeDocument/2006/relationships/ctrlProp" Target="../ctrlProps/ctrlProp66.xml"/><Relationship Id="rId3"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hyperlink" Target="http://sharepoint.auth.wellpoint.com/sites/Lean_IT_CoP/Enablement_CoP/ess/ArchPreAssessments/Reference/DAD%20Impacted%20Systems%20Workbook%20Overview.pdf" TargetMode="External"/><Relationship Id="rId1" Type="http://schemas.openxmlformats.org/officeDocument/2006/relationships/hyperlink" Target="http://sharepoint.auth.wellpoint.com/sites/Lean_IT_CoP/Enablement_CoP/ess/ArchPreAssessments/Webpages/ImpactedSystems.htm"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5.xml"/><Relationship Id="rId2" Type="http://schemas.openxmlformats.org/officeDocument/2006/relationships/drawing" Target="../drawings/drawing5.xml"/><Relationship Id="rId1" Type="http://schemas.openxmlformats.org/officeDocument/2006/relationships/printerSettings" Target="../printerSettings/printerSettings11.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12.bin"/><Relationship Id="rId1" Type="http://schemas.openxmlformats.org/officeDocument/2006/relationships/hyperlink" Target="https://share.antheminc.com/sites/SEGov/Custom%20Pages/PORAppLoaderNotif.aspx" TargetMode="Externa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boutSheet">
    <tabColor theme="3"/>
  </sheetPr>
  <dimension ref="B1:W87"/>
  <sheetViews>
    <sheetView zoomScaleNormal="100" workbookViewId="0">
      <pane ySplit="4" topLeftCell="A5" activePane="bottomLeft" state="frozenSplit"/>
      <selection pane="bottomLeft" activeCell="B22" sqref="B22:U22"/>
    </sheetView>
  </sheetViews>
  <sheetFormatPr defaultColWidth="9.1796875" defaultRowHeight="14.5" x14ac:dyDescent="0.35"/>
  <cols>
    <col min="1" max="1" width="1.7265625" style="74" customWidth="1"/>
    <col min="2" max="2" width="9.1796875" style="74" customWidth="1"/>
    <col min="3" max="7" width="9.1796875" style="74"/>
    <col min="8" max="8" width="16.1796875" style="74" customWidth="1"/>
    <col min="9" max="9" width="13.26953125" style="74" customWidth="1"/>
    <col min="10" max="11" width="9.1796875" style="74"/>
    <col min="12" max="12" width="11.54296875" style="74" customWidth="1"/>
    <col min="13" max="14" width="2.81640625" style="74" customWidth="1"/>
    <col min="15" max="15" width="9.1796875" style="74"/>
    <col min="16" max="20" width="9.1796875" style="79"/>
    <col min="21" max="21" width="8.81640625" style="79" customWidth="1"/>
    <col min="22" max="16384" width="9.1796875" style="74"/>
  </cols>
  <sheetData>
    <row r="1" spans="2:23" s="172" customFormat="1" ht="8.25" customHeight="1" x14ac:dyDescent="0.35">
      <c r="P1" s="173"/>
      <c r="Q1" s="173"/>
      <c r="R1" s="173"/>
      <c r="S1" s="173"/>
      <c r="T1" s="173"/>
      <c r="U1" s="173"/>
    </row>
    <row r="2" spans="2:23" s="172" customFormat="1" ht="28.5" x14ac:dyDescent="0.5">
      <c r="B2" s="222" t="s">
        <v>589</v>
      </c>
      <c r="C2" s="222"/>
      <c r="D2" s="222"/>
      <c r="E2" s="222"/>
      <c r="F2" s="222"/>
      <c r="G2" s="222"/>
      <c r="H2" s="222"/>
      <c r="I2" s="222"/>
      <c r="J2" s="222"/>
      <c r="K2" s="222"/>
      <c r="L2" s="222"/>
      <c r="M2" s="174"/>
      <c r="O2" s="171" t="s">
        <v>657</v>
      </c>
      <c r="P2" s="173"/>
      <c r="Q2" s="173"/>
      <c r="R2" s="175" t="s">
        <v>656</v>
      </c>
      <c r="S2" s="173"/>
      <c r="T2" s="173"/>
      <c r="U2" s="173"/>
    </row>
    <row r="3" spans="2:23" s="99" customFormat="1" ht="15.5" x14ac:dyDescent="0.35">
      <c r="B3" s="223" t="s">
        <v>631</v>
      </c>
      <c r="C3" s="223"/>
      <c r="D3" s="223"/>
      <c r="E3" s="223"/>
      <c r="F3" s="223"/>
      <c r="G3" s="223"/>
      <c r="H3" s="223"/>
      <c r="I3" s="223"/>
      <c r="J3" s="223"/>
      <c r="K3" s="223"/>
      <c r="L3" s="223"/>
      <c r="M3" s="100"/>
      <c r="O3" s="176" t="s">
        <v>628</v>
      </c>
      <c r="P3" s="227" t="s">
        <v>629</v>
      </c>
      <c r="Q3" s="227"/>
      <c r="R3" s="229"/>
      <c r="S3" s="229"/>
      <c r="T3" s="229"/>
      <c r="U3" s="177"/>
    </row>
    <row r="4" spans="2:23" s="99" customFormat="1" x14ac:dyDescent="0.35">
      <c r="B4" s="225" t="s">
        <v>596</v>
      </c>
      <c r="C4" s="225"/>
      <c r="D4" s="225"/>
      <c r="E4" s="225"/>
      <c r="F4" s="225"/>
      <c r="G4" s="225"/>
      <c r="H4" s="225"/>
      <c r="I4" s="225"/>
      <c r="J4" s="225"/>
      <c r="K4" s="225"/>
      <c r="L4" s="225"/>
      <c r="M4" s="100"/>
      <c r="P4" s="227" t="s">
        <v>630</v>
      </c>
      <c r="Q4" s="227"/>
      <c r="R4" s="177"/>
      <c r="S4" s="177"/>
      <c r="T4" s="177"/>
      <c r="U4" s="177"/>
    </row>
    <row r="5" spans="2:23" ht="15.75" customHeight="1" x14ac:dyDescent="0.35">
      <c r="B5" s="230"/>
      <c r="C5" s="230"/>
      <c r="D5" s="230"/>
      <c r="E5" s="230"/>
      <c r="F5" s="230"/>
      <c r="G5" s="230"/>
      <c r="H5" s="230"/>
      <c r="I5" s="230"/>
      <c r="J5" s="230"/>
      <c r="K5" s="230"/>
      <c r="L5" s="230"/>
      <c r="M5" s="80"/>
      <c r="O5" s="75"/>
    </row>
    <row r="6" spans="2:23" ht="15.75" customHeight="1" x14ac:dyDescent="0.35">
      <c r="B6" s="226" t="s">
        <v>607</v>
      </c>
      <c r="C6" s="226"/>
      <c r="D6" s="226"/>
      <c r="E6" s="226"/>
      <c r="F6" s="226"/>
      <c r="G6" s="226"/>
      <c r="H6" s="226"/>
      <c r="I6" s="226"/>
      <c r="J6" s="226"/>
      <c r="K6" s="226"/>
      <c r="L6" s="226"/>
      <c r="M6" s="80"/>
      <c r="O6" s="231" t="s">
        <v>613</v>
      </c>
      <c r="P6" s="231"/>
      <c r="Q6" s="231"/>
      <c r="R6" s="231"/>
      <c r="S6" s="231"/>
      <c r="T6" s="231"/>
      <c r="U6" s="231"/>
    </row>
    <row r="7" spans="2:23" ht="15.75" customHeight="1" x14ac:dyDescent="0.35">
      <c r="B7" s="226"/>
      <c r="C7" s="226"/>
      <c r="D7" s="226"/>
      <c r="E7" s="226"/>
      <c r="F7" s="226"/>
      <c r="G7" s="226"/>
      <c r="H7" s="226"/>
      <c r="I7" s="226"/>
      <c r="J7" s="226"/>
      <c r="K7" s="226"/>
      <c r="L7" s="226"/>
      <c r="M7" s="80"/>
      <c r="O7" s="232" t="s">
        <v>614</v>
      </c>
      <c r="P7" s="232"/>
      <c r="Q7" s="232"/>
      <c r="R7" s="232"/>
      <c r="S7" s="232"/>
      <c r="T7" s="232"/>
      <c r="U7" s="232"/>
    </row>
    <row r="8" spans="2:23" ht="15.75" customHeight="1" x14ac:dyDescent="0.35">
      <c r="B8" s="226"/>
      <c r="C8" s="226"/>
      <c r="D8" s="226"/>
      <c r="E8" s="226"/>
      <c r="F8" s="226"/>
      <c r="G8" s="226"/>
      <c r="H8" s="226"/>
      <c r="I8" s="226"/>
      <c r="J8" s="226"/>
      <c r="K8" s="226"/>
      <c r="L8" s="226"/>
      <c r="M8" s="80"/>
      <c r="O8" s="220" t="s">
        <v>615</v>
      </c>
      <c r="P8" s="220"/>
      <c r="Q8" s="220"/>
      <c r="R8" s="220"/>
      <c r="S8" s="220"/>
      <c r="T8" s="220"/>
      <c r="U8" s="220"/>
    </row>
    <row r="9" spans="2:23" ht="15.75" customHeight="1" x14ac:dyDescent="0.35">
      <c r="B9" s="226"/>
      <c r="C9" s="226"/>
      <c r="D9" s="226"/>
      <c r="E9" s="226"/>
      <c r="F9" s="226"/>
      <c r="G9" s="226"/>
      <c r="H9" s="226"/>
      <c r="I9" s="226"/>
      <c r="J9" s="226"/>
      <c r="K9" s="226"/>
      <c r="L9" s="226"/>
      <c r="M9" s="80"/>
      <c r="O9" s="220" t="s">
        <v>617</v>
      </c>
      <c r="P9" s="220"/>
      <c r="Q9" s="220"/>
      <c r="R9" s="220"/>
      <c r="S9" s="220"/>
      <c r="T9" s="220"/>
      <c r="U9" s="220"/>
    </row>
    <row r="10" spans="2:23" ht="15.75" customHeight="1" x14ac:dyDescent="0.35">
      <c r="B10" s="226"/>
      <c r="C10" s="226"/>
      <c r="D10" s="226"/>
      <c r="E10" s="226"/>
      <c r="F10" s="226"/>
      <c r="G10" s="226"/>
      <c r="H10" s="226"/>
      <c r="I10" s="226"/>
      <c r="J10" s="226"/>
      <c r="K10" s="226"/>
      <c r="L10" s="226"/>
      <c r="M10" s="80"/>
      <c r="O10" s="220" t="s">
        <v>620</v>
      </c>
      <c r="P10" s="220"/>
      <c r="Q10" s="220"/>
      <c r="R10" s="220"/>
      <c r="S10" s="220"/>
      <c r="T10" s="220"/>
      <c r="U10" s="220"/>
    </row>
    <row r="11" spans="2:23" x14ac:dyDescent="0.35">
      <c r="B11" s="224"/>
      <c r="C11" s="224"/>
      <c r="D11" s="224"/>
      <c r="E11" s="224"/>
      <c r="F11" s="224"/>
      <c r="G11" s="224"/>
      <c r="H11" s="224"/>
      <c r="I11" s="224"/>
      <c r="J11" s="224"/>
      <c r="K11" s="224"/>
      <c r="L11" s="224"/>
      <c r="M11" s="81"/>
      <c r="O11" s="228"/>
      <c r="P11" s="228"/>
      <c r="Q11" s="228"/>
      <c r="R11" s="228"/>
      <c r="S11" s="228"/>
      <c r="T11" s="228"/>
      <c r="U11" s="228"/>
      <c r="V11" s="79"/>
      <c r="W11" s="79"/>
    </row>
    <row r="12" spans="2:23" ht="21" customHeight="1" x14ac:dyDescent="0.35">
      <c r="B12" s="221" t="s">
        <v>632</v>
      </c>
      <c r="C12" s="221"/>
      <c r="D12" s="221"/>
      <c r="E12" s="221"/>
      <c r="F12" s="221"/>
      <c r="G12" s="221"/>
      <c r="H12" s="221"/>
      <c r="I12" s="221"/>
      <c r="J12" s="221"/>
      <c r="K12" s="221"/>
      <c r="L12" s="221"/>
      <c r="M12" s="81"/>
      <c r="O12" s="221" t="s">
        <v>592</v>
      </c>
      <c r="P12" s="221"/>
      <c r="Q12" s="221"/>
      <c r="R12" s="221"/>
      <c r="S12" s="221"/>
      <c r="T12" s="221"/>
      <c r="U12" s="221"/>
      <c r="V12" s="170"/>
      <c r="W12" s="170"/>
    </row>
    <row r="13" spans="2:23" ht="39" customHeight="1" x14ac:dyDescent="0.35">
      <c r="B13" s="182" t="s">
        <v>580</v>
      </c>
      <c r="C13" s="183" t="s">
        <v>578</v>
      </c>
      <c r="D13" s="184" t="s">
        <v>579</v>
      </c>
      <c r="E13" s="184" t="s">
        <v>581</v>
      </c>
      <c r="F13" s="185" t="s">
        <v>582</v>
      </c>
      <c r="G13" s="185" t="s">
        <v>583</v>
      </c>
      <c r="H13" s="186" t="s">
        <v>584</v>
      </c>
      <c r="I13" s="186" t="s">
        <v>588</v>
      </c>
      <c r="J13" s="185" t="s">
        <v>587</v>
      </c>
      <c r="K13" s="187" t="s">
        <v>586</v>
      </c>
      <c r="L13" s="187" t="s">
        <v>585</v>
      </c>
      <c r="M13" s="81"/>
      <c r="O13" s="219" t="s">
        <v>550</v>
      </c>
      <c r="P13" s="219"/>
      <c r="Q13" s="219"/>
      <c r="R13" s="219"/>
      <c r="S13" s="219"/>
      <c r="T13" s="219"/>
      <c r="U13" s="219"/>
      <c r="V13" s="219"/>
      <c r="W13" s="219"/>
    </row>
    <row r="14" spans="2:23" ht="27.75" customHeight="1" x14ac:dyDescent="0.35">
      <c r="B14" s="179" t="s">
        <v>635</v>
      </c>
      <c r="C14" s="188" t="s">
        <v>634</v>
      </c>
      <c r="D14" s="189" t="s">
        <v>634</v>
      </c>
      <c r="E14" s="189" t="s">
        <v>634</v>
      </c>
      <c r="F14" s="180" t="s">
        <v>633</v>
      </c>
      <c r="G14" s="180" t="s">
        <v>633</v>
      </c>
      <c r="H14" s="190" t="s">
        <v>634</v>
      </c>
      <c r="I14" s="190" t="s">
        <v>634</v>
      </c>
      <c r="J14" s="180" t="s">
        <v>633</v>
      </c>
      <c r="K14" s="181" t="s">
        <v>635</v>
      </c>
      <c r="L14" s="181" t="s">
        <v>635</v>
      </c>
      <c r="M14" s="81"/>
      <c r="O14" s="178"/>
      <c r="P14" s="178"/>
      <c r="Q14" s="178"/>
      <c r="R14" s="178"/>
      <c r="S14" s="178"/>
      <c r="T14" s="178"/>
      <c r="U14" s="178"/>
      <c r="V14" s="178"/>
      <c r="W14" s="178"/>
    </row>
    <row r="15" spans="2:23" x14ac:dyDescent="0.35">
      <c r="B15" s="102"/>
      <c r="C15" s="102"/>
      <c r="D15" s="102"/>
      <c r="E15" s="102"/>
      <c r="F15" s="102"/>
      <c r="G15" s="102"/>
      <c r="H15" s="102"/>
      <c r="I15" s="102"/>
      <c r="J15" s="102"/>
      <c r="K15" s="102"/>
      <c r="L15" s="102"/>
      <c r="M15" s="156"/>
      <c r="N15" s="157"/>
      <c r="O15" s="101"/>
      <c r="P15" s="154"/>
      <c r="Q15" s="154"/>
      <c r="R15" s="154"/>
      <c r="S15" s="154"/>
      <c r="T15" s="154"/>
      <c r="U15" s="154"/>
      <c r="V15" s="79"/>
      <c r="W15" s="79"/>
    </row>
    <row r="16" spans="2:23" ht="8.25" customHeight="1" x14ac:dyDescent="0.35">
      <c r="B16" s="83"/>
      <c r="C16" s="83"/>
      <c r="D16" s="83"/>
      <c r="E16" s="83"/>
      <c r="F16" s="83"/>
      <c r="G16" s="83"/>
      <c r="H16" s="83"/>
      <c r="I16" s="83"/>
      <c r="J16" s="83"/>
      <c r="K16" s="83"/>
      <c r="L16" s="83"/>
      <c r="M16" s="154"/>
      <c r="O16" s="84"/>
      <c r="P16" s="84"/>
      <c r="Q16" s="84"/>
      <c r="R16" s="84"/>
      <c r="S16" s="84"/>
      <c r="T16" s="84"/>
      <c r="U16" s="84"/>
      <c r="V16" s="79"/>
      <c r="W16" s="79"/>
    </row>
    <row r="17" spans="2:21" ht="18.5" x14ac:dyDescent="0.35">
      <c r="B17" s="221" t="s">
        <v>606</v>
      </c>
      <c r="C17" s="221"/>
      <c r="D17" s="221"/>
      <c r="E17" s="221"/>
      <c r="F17" s="221"/>
      <c r="G17" s="221"/>
      <c r="H17" s="221"/>
      <c r="I17" s="221"/>
      <c r="J17" s="221"/>
      <c r="K17" s="221"/>
      <c r="L17" s="221"/>
      <c r="M17" s="221"/>
      <c r="N17" s="221"/>
      <c r="O17" s="221"/>
      <c r="P17" s="221"/>
      <c r="Q17" s="221"/>
      <c r="R17" s="221"/>
      <c r="S17" s="221"/>
      <c r="T17" s="221"/>
      <c r="U17" s="221"/>
    </row>
    <row r="18" spans="2:21" ht="34.5" customHeight="1" x14ac:dyDescent="0.35">
      <c r="B18" s="219" t="s">
        <v>609</v>
      </c>
      <c r="C18" s="219"/>
      <c r="D18" s="219"/>
      <c r="E18" s="219"/>
      <c r="F18" s="219"/>
      <c r="G18" s="219"/>
      <c r="H18" s="219"/>
      <c r="I18" s="219"/>
      <c r="J18" s="219"/>
      <c r="K18" s="219"/>
      <c r="L18" s="219"/>
      <c r="M18" s="219"/>
      <c r="N18" s="219"/>
      <c r="O18" s="219"/>
      <c r="P18" s="219"/>
      <c r="Q18" s="219"/>
      <c r="R18" s="219"/>
      <c r="S18" s="219"/>
      <c r="T18" s="219"/>
      <c r="U18" s="219"/>
    </row>
    <row r="19" spans="2:21" ht="33.75" customHeight="1" x14ac:dyDescent="0.35">
      <c r="B19" s="233" t="s">
        <v>616</v>
      </c>
      <c r="C19" s="233"/>
      <c r="D19" s="233"/>
      <c r="E19" s="233"/>
      <c r="F19" s="233"/>
      <c r="G19" s="233"/>
      <c r="H19" s="233"/>
      <c r="I19" s="233"/>
      <c r="J19" s="233"/>
      <c r="K19" s="233"/>
      <c r="L19" s="233"/>
      <c r="M19" s="233"/>
      <c r="N19" s="233"/>
      <c r="O19" s="233"/>
      <c r="P19" s="233"/>
      <c r="Q19" s="233"/>
      <c r="R19" s="233"/>
      <c r="S19" s="233"/>
      <c r="T19" s="233"/>
      <c r="U19" s="233"/>
    </row>
    <row r="20" spans="2:21" ht="15.75" customHeight="1" x14ac:dyDescent="0.35">
      <c r="B20" s="234" t="s">
        <v>600</v>
      </c>
      <c r="C20" s="234"/>
      <c r="D20" s="234"/>
      <c r="E20" s="234"/>
      <c r="F20" s="234"/>
      <c r="G20" s="234"/>
      <c r="H20" s="234"/>
      <c r="I20" s="234"/>
      <c r="J20" s="234"/>
      <c r="K20" s="234"/>
      <c r="L20" s="234"/>
      <c r="M20" s="234"/>
      <c r="N20" s="234"/>
      <c r="O20" s="234"/>
      <c r="P20" s="234"/>
      <c r="Q20" s="234"/>
      <c r="R20" s="234"/>
      <c r="S20" s="234"/>
      <c r="T20" s="234"/>
      <c r="U20" s="234"/>
    </row>
    <row r="21" spans="2:21" ht="15.75" customHeight="1" x14ac:dyDescent="0.35">
      <c r="B21" s="234" t="s">
        <v>601</v>
      </c>
      <c r="C21" s="234"/>
      <c r="D21" s="234"/>
      <c r="E21" s="234"/>
      <c r="F21" s="234"/>
      <c r="G21" s="234"/>
      <c r="H21" s="234"/>
      <c r="I21" s="234"/>
      <c r="J21" s="234"/>
      <c r="K21" s="234"/>
      <c r="L21" s="234"/>
      <c r="M21" s="234"/>
      <c r="N21" s="234"/>
      <c r="O21" s="234"/>
      <c r="P21" s="234"/>
      <c r="Q21" s="234"/>
      <c r="R21" s="234"/>
      <c r="S21" s="234"/>
      <c r="T21" s="234"/>
      <c r="U21" s="234"/>
    </row>
    <row r="22" spans="2:21" ht="15.75" customHeight="1" x14ac:dyDescent="0.35">
      <c r="B22" s="235" t="s">
        <v>608</v>
      </c>
      <c r="C22" s="235"/>
      <c r="D22" s="235"/>
      <c r="E22" s="235"/>
      <c r="F22" s="235"/>
      <c r="G22" s="235"/>
      <c r="H22" s="235"/>
      <c r="I22" s="235"/>
      <c r="J22" s="235"/>
      <c r="K22" s="235"/>
      <c r="L22" s="235"/>
      <c r="M22" s="235"/>
      <c r="N22" s="235"/>
      <c r="O22" s="235"/>
      <c r="P22" s="235"/>
      <c r="Q22" s="235"/>
      <c r="R22" s="235"/>
      <c r="S22" s="235"/>
      <c r="T22" s="235"/>
      <c r="U22" s="235"/>
    </row>
    <row r="23" spans="2:21" ht="15.75" customHeight="1" x14ac:dyDescent="0.35">
      <c r="B23" s="219" t="s">
        <v>604</v>
      </c>
      <c r="C23" s="219"/>
      <c r="D23" s="219"/>
      <c r="E23" s="219"/>
      <c r="F23" s="219"/>
      <c r="G23" s="219"/>
      <c r="H23" s="219"/>
      <c r="I23" s="219"/>
      <c r="J23" s="219"/>
      <c r="K23" s="219"/>
      <c r="L23" s="219"/>
      <c r="M23" s="219"/>
      <c r="N23" s="219"/>
      <c r="O23" s="219"/>
      <c r="P23" s="219"/>
      <c r="Q23" s="219"/>
      <c r="R23" s="219"/>
      <c r="S23" s="219"/>
      <c r="T23" s="219"/>
      <c r="U23" s="219"/>
    </row>
    <row r="24" spans="2:21" ht="96" customHeight="1" x14ac:dyDescent="0.35">
      <c r="B24" s="233" t="s">
        <v>603</v>
      </c>
      <c r="C24" s="233"/>
      <c r="D24" s="233"/>
      <c r="E24" s="233"/>
      <c r="F24" s="233"/>
      <c r="G24" s="233"/>
      <c r="H24" s="233"/>
      <c r="I24" s="233"/>
      <c r="J24" s="233"/>
      <c r="K24" s="233"/>
      <c r="L24" s="233"/>
      <c r="M24" s="233"/>
      <c r="N24" s="233"/>
      <c r="O24" s="233"/>
      <c r="P24" s="233"/>
      <c r="Q24" s="233"/>
      <c r="R24" s="233"/>
      <c r="S24" s="233"/>
      <c r="T24" s="233"/>
      <c r="U24" s="233"/>
    </row>
    <row r="25" spans="2:21" ht="15.75" customHeight="1" x14ac:dyDescent="0.35">
      <c r="B25" s="219" t="s">
        <v>602</v>
      </c>
      <c r="C25" s="219"/>
      <c r="D25" s="219"/>
      <c r="E25" s="219"/>
      <c r="F25" s="219"/>
      <c r="G25" s="219"/>
      <c r="H25" s="219"/>
      <c r="I25" s="219"/>
      <c r="J25" s="219"/>
      <c r="K25" s="219"/>
      <c r="L25" s="219"/>
      <c r="M25" s="219"/>
      <c r="N25" s="219"/>
      <c r="O25" s="219"/>
      <c r="P25" s="219"/>
      <c r="Q25" s="219"/>
      <c r="R25" s="219"/>
      <c r="S25" s="219"/>
      <c r="T25" s="219"/>
      <c r="U25" s="219"/>
    </row>
    <row r="26" spans="2:21" ht="15.75" customHeight="1" x14ac:dyDescent="0.35">
      <c r="B26" s="236" t="s">
        <v>605</v>
      </c>
      <c r="C26" s="236"/>
      <c r="D26" s="236"/>
      <c r="E26" s="236"/>
      <c r="F26" s="236"/>
      <c r="G26" s="236"/>
      <c r="H26" s="236"/>
      <c r="I26" s="236"/>
      <c r="J26" s="236"/>
      <c r="K26" s="236"/>
      <c r="L26" s="236"/>
      <c r="M26" s="236"/>
      <c r="N26" s="236"/>
      <c r="O26" s="236"/>
      <c r="P26" s="236"/>
      <c r="Q26" s="236"/>
      <c r="R26" s="236"/>
      <c r="S26" s="236"/>
      <c r="T26" s="236"/>
      <c r="U26" s="236"/>
    </row>
    <row r="27" spans="2:21" ht="15.75" customHeight="1" x14ac:dyDescent="0.35">
      <c r="B27" s="219" t="s">
        <v>636</v>
      </c>
      <c r="C27" s="219"/>
      <c r="D27" s="219"/>
      <c r="E27" s="219"/>
      <c r="F27" s="219"/>
      <c r="G27" s="219"/>
      <c r="H27" s="219"/>
      <c r="I27" s="219"/>
      <c r="J27" s="219"/>
      <c r="K27" s="219"/>
      <c r="L27" s="219"/>
      <c r="M27" s="219"/>
      <c r="N27" s="219"/>
      <c r="O27" s="219"/>
      <c r="P27" s="219"/>
      <c r="Q27" s="219"/>
      <c r="R27" s="219"/>
      <c r="S27" s="219"/>
      <c r="T27" s="219"/>
      <c r="U27" s="219"/>
    </row>
    <row r="28" spans="2:21" x14ac:dyDescent="0.35">
      <c r="B28" s="219"/>
      <c r="C28" s="219"/>
      <c r="D28" s="219"/>
      <c r="E28" s="219"/>
      <c r="F28" s="219"/>
      <c r="G28" s="219"/>
      <c r="H28" s="219"/>
      <c r="I28" s="219"/>
      <c r="J28" s="219"/>
      <c r="K28" s="219"/>
      <c r="L28" s="219"/>
      <c r="M28" s="219"/>
      <c r="N28" s="219"/>
      <c r="O28" s="219"/>
      <c r="P28" s="219"/>
      <c r="Q28" s="219"/>
      <c r="R28" s="219"/>
      <c r="S28" s="219"/>
      <c r="T28" s="219"/>
      <c r="U28" s="219"/>
    </row>
    <row r="29" spans="2:21" ht="18.5" x14ac:dyDescent="0.35">
      <c r="B29" s="221" t="s">
        <v>573</v>
      </c>
      <c r="C29" s="221"/>
      <c r="D29" s="221"/>
      <c r="E29" s="221"/>
      <c r="F29" s="221"/>
      <c r="G29" s="221"/>
      <c r="H29" s="221"/>
      <c r="I29" s="221"/>
      <c r="J29" s="221"/>
      <c r="K29" s="221"/>
      <c r="L29" s="221"/>
      <c r="M29" s="221"/>
      <c r="N29" s="221"/>
      <c r="O29" s="221"/>
      <c r="P29" s="221"/>
      <c r="Q29" s="221"/>
      <c r="R29" s="221"/>
      <c r="S29" s="221"/>
      <c r="T29" s="221"/>
      <c r="U29" s="221"/>
    </row>
    <row r="30" spans="2:21" ht="36" customHeight="1" x14ac:dyDescent="0.35">
      <c r="B30" s="219" t="s">
        <v>590</v>
      </c>
      <c r="C30" s="219"/>
      <c r="D30" s="219"/>
      <c r="E30" s="219"/>
      <c r="F30" s="219"/>
      <c r="G30" s="219"/>
      <c r="H30" s="219"/>
      <c r="I30" s="219"/>
      <c r="J30" s="219"/>
      <c r="K30" s="219"/>
      <c r="L30" s="219"/>
      <c r="M30" s="219"/>
      <c r="N30" s="219"/>
      <c r="O30" s="219"/>
      <c r="P30" s="219"/>
      <c r="Q30" s="219"/>
      <c r="R30" s="219"/>
      <c r="S30" s="219"/>
      <c r="T30" s="219"/>
      <c r="U30" s="219"/>
    </row>
    <row r="31" spans="2:21" x14ac:dyDescent="0.35">
      <c r="B31" s="82"/>
      <c r="C31" s="82"/>
      <c r="D31" s="82"/>
      <c r="E31" s="82"/>
      <c r="F31" s="82"/>
      <c r="G31" s="82"/>
      <c r="H31" s="82"/>
      <c r="I31" s="82"/>
      <c r="J31" s="82"/>
      <c r="K31" s="82"/>
      <c r="L31" s="82"/>
    </row>
    <row r="32" spans="2:21" ht="18.5" x14ac:dyDescent="0.45">
      <c r="B32" s="237" t="s">
        <v>591</v>
      </c>
      <c r="C32" s="237"/>
      <c r="D32" s="237"/>
      <c r="E32" s="237"/>
      <c r="F32" s="237"/>
      <c r="G32" s="237"/>
      <c r="H32" s="237"/>
      <c r="I32" s="237"/>
      <c r="J32" s="237"/>
      <c r="K32" s="237"/>
      <c r="L32" s="237"/>
      <c r="M32" s="237"/>
      <c r="N32" s="237"/>
      <c r="O32" s="237"/>
      <c r="P32" s="237"/>
      <c r="Q32" s="237"/>
      <c r="R32" s="237"/>
      <c r="S32" s="237"/>
      <c r="T32" s="237"/>
      <c r="U32" s="237"/>
    </row>
    <row r="33" spans="2:21" ht="18.5" x14ac:dyDescent="0.45">
      <c r="B33" s="164" t="s">
        <v>658</v>
      </c>
      <c r="C33" s="213" t="s">
        <v>659</v>
      </c>
      <c r="D33" s="214"/>
      <c r="E33" s="214"/>
      <c r="F33" s="214"/>
      <c r="G33" s="214"/>
      <c r="H33" s="214"/>
      <c r="I33" s="214"/>
      <c r="J33" s="214"/>
      <c r="K33" s="214"/>
      <c r="L33" s="214"/>
      <c r="M33" s="214"/>
      <c r="N33" s="214"/>
      <c r="O33" s="214"/>
      <c r="P33" s="214"/>
      <c r="Q33" s="214"/>
      <c r="R33" s="214"/>
      <c r="S33" s="169"/>
      <c r="T33" s="169"/>
      <c r="U33" s="169"/>
    </row>
    <row r="34" spans="2:21" ht="15" customHeight="1" x14ac:dyDescent="0.45">
      <c r="B34" s="161"/>
      <c r="C34" s="215" t="s">
        <v>618</v>
      </c>
      <c r="D34" s="216"/>
      <c r="E34" s="216"/>
      <c r="F34" s="216"/>
      <c r="G34" s="216"/>
      <c r="H34" s="216"/>
      <c r="I34" s="216"/>
      <c r="J34" s="216"/>
      <c r="K34" s="216"/>
      <c r="L34" s="216"/>
      <c r="M34" s="216"/>
      <c r="N34" s="216"/>
      <c r="O34" s="216"/>
      <c r="P34" s="216"/>
      <c r="Q34" s="216"/>
      <c r="R34" s="216"/>
      <c r="S34" s="169"/>
      <c r="T34" s="169"/>
      <c r="U34" s="169"/>
    </row>
    <row r="35" spans="2:21" ht="20.25" customHeight="1" x14ac:dyDescent="0.45">
      <c r="B35" s="161"/>
      <c r="C35" s="217" t="s">
        <v>660</v>
      </c>
      <c r="D35" s="218"/>
      <c r="E35" s="218"/>
      <c r="F35" s="218"/>
      <c r="G35" s="218"/>
      <c r="H35" s="218"/>
      <c r="I35" s="218"/>
      <c r="J35" s="218"/>
      <c r="K35" s="218"/>
      <c r="L35" s="218"/>
      <c r="M35" s="218"/>
      <c r="N35" s="218"/>
      <c r="O35" s="218"/>
      <c r="P35" s="218"/>
      <c r="Q35" s="218"/>
      <c r="R35" s="218"/>
      <c r="S35" s="169"/>
      <c r="T35" s="169"/>
      <c r="U35" s="169"/>
    </row>
    <row r="36" spans="2:21" ht="18.5" x14ac:dyDescent="0.45">
      <c r="B36" s="163">
        <v>4.5999999999999996</v>
      </c>
      <c r="C36" s="213" t="s">
        <v>652</v>
      </c>
      <c r="D36" s="214"/>
      <c r="E36" s="214"/>
      <c r="F36" s="214"/>
      <c r="G36" s="214"/>
      <c r="H36" s="214"/>
      <c r="I36" s="214"/>
      <c r="J36" s="214"/>
      <c r="K36" s="214"/>
      <c r="L36" s="214"/>
      <c r="M36" s="214"/>
      <c r="N36" s="214"/>
      <c r="O36" s="214"/>
      <c r="P36" s="214"/>
      <c r="Q36" s="214"/>
      <c r="R36" s="214"/>
      <c r="S36" s="169"/>
      <c r="T36" s="169"/>
      <c r="U36" s="169"/>
    </row>
    <row r="37" spans="2:21" ht="15" customHeight="1" x14ac:dyDescent="0.45">
      <c r="B37" s="161"/>
      <c r="C37" s="215" t="s">
        <v>618</v>
      </c>
      <c r="D37" s="216"/>
      <c r="E37" s="216"/>
      <c r="F37" s="216"/>
      <c r="G37" s="216"/>
      <c r="H37" s="216"/>
      <c r="I37" s="216"/>
      <c r="J37" s="216"/>
      <c r="K37" s="216"/>
      <c r="L37" s="216"/>
      <c r="M37" s="216"/>
      <c r="N37" s="216"/>
      <c r="O37" s="216"/>
      <c r="P37" s="216"/>
      <c r="Q37" s="216"/>
      <c r="R37" s="216"/>
      <c r="S37" s="169"/>
      <c r="T37" s="169"/>
      <c r="U37" s="169"/>
    </row>
    <row r="38" spans="2:21" ht="182.25" customHeight="1" x14ac:dyDescent="0.45">
      <c r="B38" s="161"/>
      <c r="C38" s="217" t="s">
        <v>655</v>
      </c>
      <c r="D38" s="218"/>
      <c r="E38" s="218"/>
      <c r="F38" s="218"/>
      <c r="G38" s="218"/>
      <c r="H38" s="218"/>
      <c r="I38" s="218"/>
      <c r="J38" s="218"/>
      <c r="K38" s="218"/>
      <c r="L38" s="218"/>
      <c r="M38" s="218"/>
      <c r="N38" s="218"/>
      <c r="O38" s="218"/>
      <c r="P38" s="218"/>
      <c r="Q38" s="218"/>
      <c r="R38" s="218"/>
      <c r="S38" s="169"/>
      <c r="T38" s="169"/>
      <c r="U38" s="169"/>
    </row>
    <row r="39" spans="2:21" ht="18.75" customHeight="1" x14ac:dyDescent="0.45">
      <c r="B39" s="163">
        <v>4.5</v>
      </c>
      <c r="C39" s="213" t="s">
        <v>647</v>
      </c>
      <c r="D39" s="214"/>
      <c r="E39" s="214"/>
      <c r="F39" s="214"/>
      <c r="G39" s="214"/>
      <c r="H39" s="214"/>
      <c r="I39" s="214"/>
      <c r="J39" s="214"/>
      <c r="K39" s="214"/>
      <c r="L39" s="214"/>
      <c r="M39" s="214"/>
      <c r="N39" s="214"/>
      <c r="O39" s="214"/>
      <c r="P39" s="214"/>
      <c r="Q39" s="214"/>
      <c r="R39" s="214"/>
      <c r="S39" s="169"/>
      <c r="T39" s="169"/>
      <c r="U39" s="169"/>
    </row>
    <row r="40" spans="2:21" ht="15" customHeight="1" x14ac:dyDescent="0.45">
      <c r="B40" s="161"/>
      <c r="C40" s="215" t="s">
        <v>618</v>
      </c>
      <c r="D40" s="216"/>
      <c r="E40" s="216"/>
      <c r="F40" s="216"/>
      <c r="G40" s="216"/>
      <c r="H40" s="216"/>
      <c r="I40" s="216"/>
      <c r="J40" s="216"/>
      <c r="K40" s="216"/>
      <c r="L40" s="216"/>
      <c r="M40" s="216"/>
      <c r="N40" s="216"/>
      <c r="O40" s="216"/>
      <c r="P40" s="216"/>
      <c r="Q40" s="216"/>
      <c r="R40" s="216"/>
      <c r="S40" s="169"/>
      <c r="T40" s="169"/>
      <c r="U40" s="169"/>
    </row>
    <row r="41" spans="2:21" ht="93" customHeight="1" x14ac:dyDescent="0.45">
      <c r="B41" s="161"/>
      <c r="C41" s="217" t="s">
        <v>646</v>
      </c>
      <c r="D41" s="218"/>
      <c r="E41" s="218"/>
      <c r="F41" s="218"/>
      <c r="G41" s="218"/>
      <c r="H41" s="218"/>
      <c r="I41" s="218"/>
      <c r="J41" s="218"/>
      <c r="K41" s="218"/>
      <c r="L41" s="218"/>
      <c r="M41" s="218"/>
      <c r="N41" s="218"/>
      <c r="O41" s="218"/>
      <c r="P41" s="218"/>
      <c r="Q41" s="218"/>
      <c r="R41" s="218"/>
      <c r="S41" s="169"/>
      <c r="T41" s="169"/>
      <c r="U41" s="169"/>
    </row>
    <row r="42" spans="2:21" ht="18.75" customHeight="1" x14ac:dyDescent="0.45">
      <c r="B42" s="163">
        <v>4.4000000000000004</v>
      </c>
      <c r="C42" s="213" t="s">
        <v>644</v>
      </c>
      <c r="D42" s="214"/>
      <c r="E42" s="214"/>
      <c r="F42" s="214"/>
      <c r="G42" s="214"/>
      <c r="H42" s="214"/>
      <c r="I42" s="214"/>
      <c r="J42" s="214"/>
      <c r="K42" s="214"/>
      <c r="L42" s="214"/>
      <c r="M42" s="214"/>
      <c r="N42" s="214"/>
      <c r="O42" s="214"/>
      <c r="P42" s="214"/>
      <c r="Q42" s="214"/>
      <c r="R42" s="214"/>
      <c r="S42" s="169"/>
      <c r="T42" s="169"/>
      <c r="U42" s="169"/>
    </row>
    <row r="43" spans="2:21" ht="15" customHeight="1" x14ac:dyDescent="0.45">
      <c r="B43" s="161"/>
      <c r="C43" s="215" t="s">
        <v>618</v>
      </c>
      <c r="D43" s="216"/>
      <c r="E43" s="216"/>
      <c r="F43" s="216"/>
      <c r="G43" s="216"/>
      <c r="H43" s="216"/>
      <c r="I43" s="216"/>
      <c r="J43" s="216"/>
      <c r="K43" s="216"/>
      <c r="L43" s="216"/>
      <c r="M43" s="216"/>
      <c r="N43" s="216"/>
      <c r="O43" s="216"/>
      <c r="P43" s="216"/>
      <c r="Q43" s="216"/>
      <c r="R43" s="216"/>
      <c r="S43" s="169"/>
      <c r="T43" s="169"/>
      <c r="U43" s="169"/>
    </row>
    <row r="44" spans="2:21" ht="158.25" customHeight="1" x14ac:dyDescent="0.45">
      <c r="B44" s="161"/>
      <c r="C44" s="217" t="s">
        <v>641</v>
      </c>
      <c r="D44" s="218"/>
      <c r="E44" s="218"/>
      <c r="F44" s="218"/>
      <c r="G44" s="218"/>
      <c r="H44" s="218"/>
      <c r="I44" s="218"/>
      <c r="J44" s="218"/>
      <c r="K44" s="218"/>
      <c r="L44" s="218"/>
      <c r="M44" s="218"/>
      <c r="N44" s="218"/>
      <c r="O44" s="218"/>
      <c r="P44" s="218"/>
      <c r="Q44" s="218"/>
      <c r="R44" s="218"/>
      <c r="S44" s="169"/>
      <c r="T44" s="169"/>
      <c r="U44" s="169"/>
    </row>
    <row r="45" spans="2:21" s="158" customFormat="1" ht="15" customHeight="1" x14ac:dyDescent="0.35">
      <c r="B45" s="163">
        <v>4.3</v>
      </c>
      <c r="C45" s="213" t="s">
        <v>644</v>
      </c>
      <c r="D45" s="214"/>
      <c r="E45" s="214"/>
      <c r="F45" s="214"/>
      <c r="G45" s="214"/>
      <c r="H45" s="214"/>
      <c r="I45" s="214"/>
      <c r="J45" s="214"/>
      <c r="K45" s="214"/>
      <c r="L45" s="214"/>
      <c r="M45" s="214"/>
      <c r="N45" s="214"/>
      <c r="O45" s="214"/>
      <c r="P45" s="214"/>
      <c r="Q45" s="214"/>
      <c r="R45" s="214"/>
      <c r="S45" s="159"/>
      <c r="T45" s="159"/>
      <c r="U45" s="159"/>
    </row>
    <row r="46" spans="2:21" s="155" customFormat="1" ht="15" customHeight="1" x14ac:dyDescent="0.35">
      <c r="B46" s="161"/>
      <c r="C46" s="215" t="s">
        <v>618</v>
      </c>
      <c r="D46" s="216"/>
      <c r="E46" s="216"/>
      <c r="F46" s="216"/>
      <c r="G46" s="216"/>
      <c r="H46" s="216"/>
      <c r="I46" s="216"/>
      <c r="J46" s="216"/>
      <c r="K46" s="216"/>
      <c r="L46" s="216"/>
      <c r="M46" s="216"/>
      <c r="N46" s="216"/>
      <c r="O46" s="216"/>
      <c r="P46" s="216"/>
      <c r="Q46" s="216"/>
      <c r="R46" s="216"/>
      <c r="S46" s="160"/>
      <c r="T46" s="160"/>
      <c r="U46" s="160"/>
    </row>
    <row r="47" spans="2:21" s="155" customFormat="1" ht="15" customHeight="1" x14ac:dyDescent="0.35">
      <c r="B47" s="161"/>
      <c r="C47" s="217" t="s">
        <v>622</v>
      </c>
      <c r="D47" s="218"/>
      <c r="E47" s="218"/>
      <c r="F47" s="218"/>
      <c r="G47" s="218"/>
      <c r="H47" s="218"/>
      <c r="I47" s="218"/>
      <c r="J47" s="218"/>
      <c r="K47" s="218"/>
      <c r="L47" s="218"/>
      <c r="M47" s="218"/>
      <c r="N47" s="218"/>
      <c r="O47" s="218"/>
      <c r="P47" s="218"/>
      <c r="Q47" s="218"/>
      <c r="R47" s="218"/>
      <c r="S47" s="160"/>
      <c r="T47" s="160"/>
      <c r="U47" s="160"/>
    </row>
    <row r="48" spans="2:21" s="158" customFormat="1" ht="15.75" customHeight="1" x14ac:dyDescent="0.35">
      <c r="B48" s="163">
        <v>4.2</v>
      </c>
      <c r="C48" s="213" t="s">
        <v>644</v>
      </c>
      <c r="D48" s="214"/>
      <c r="E48" s="214"/>
      <c r="F48" s="214"/>
      <c r="G48" s="214"/>
      <c r="H48" s="214"/>
      <c r="I48" s="214"/>
      <c r="J48" s="214"/>
      <c r="K48" s="214"/>
      <c r="L48" s="214"/>
      <c r="M48" s="214"/>
      <c r="N48" s="214"/>
      <c r="O48" s="214"/>
      <c r="P48" s="214"/>
      <c r="Q48" s="214"/>
      <c r="R48" s="214"/>
      <c r="S48" s="159"/>
      <c r="T48" s="159"/>
      <c r="U48" s="159"/>
    </row>
    <row r="49" spans="2:21" s="158" customFormat="1" ht="15" customHeight="1" x14ac:dyDescent="0.35">
      <c r="B49" s="162"/>
      <c r="C49" s="215" t="s">
        <v>619</v>
      </c>
      <c r="D49" s="216"/>
      <c r="E49" s="216"/>
      <c r="F49" s="216"/>
      <c r="G49" s="216"/>
      <c r="H49" s="216"/>
      <c r="I49" s="216"/>
      <c r="J49" s="216"/>
      <c r="K49" s="216"/>
      <c r="L49" s="216"/>
      <c r="M49" s="216"/>
      <c r="N49" s="216"/>
      <c r="O49" s="216"/>
      <c r="P49" s="216"/>
      <c r="Q49" s="216"/>
      <c r="R49" s="216"/>
      <c r="S49" s="159"/>
      <c r="T49" s="159"/>
      <c r="U49" s="159"/>
    </row>
    <row r="50" spans="2:21" s="158" customFormat="1" ht="56.25" customHeight="1" x14ac:dyDescent="0.35">
      <c r="B50" s="162"/>
      <c r="C50" s="217" t="s">
        <v>623</v>
      </c>
      <c r="D50" s="218"/>
      <c r="E50" s="218"/>
      <c r="F50" s="218"/>
      <c r="G50" s="218"/>
      <c r="H50" s="218"/>
      <c r="I50" s="218"/>
      <c r="J50" s="218"/>
      <c r="K50" s="218"/>
      <c r="L50" s="218"/>
      <c r="M50" s="218"/>
      <c r="N50" s="218"/>
      <c r="O50" s="218"/>
      <c r="P50" s="218"/>
      <c r="Q50" s="218"/>
      <c r="R50" s="218"/>
      <c r="S50" s="159"/>
      <c r="T50" s="159"/>
      <c r="U50" s="159"/>
    </row>
    <row r="51" spans="2:21" s="158" customFormat="1" ht="15" customHeight="1" x14ac:dyDescent="0.35">
      <c r="B51" s="163">
        <v>4.0999999999999996</v>
      </c>
      <c r="C51" s="213" t="s">
        <v>644</v>
      </c>
      <c r="D51" s="214"/>
      <c r="E51" s="214"/>
      <c r="F51" s="214"/>
      <c r="G51" s="214"/>
      <c r="H51" s="214"/>
      <c r="I51" s="214"/>
      <c r="J51" s="214"/>
      <c r="K51" s="214"/>
      <c r="L51" s="214"/>
      <c r="M51" s="214"/>
      <c r="N51" s="214"/>
      <c r="O51" s="214"/>
      <c r="P51" s="214"/>
      <c r="Q51" s="214"/>
      <c r="R51" s="214"/>
      <c r="S51" s="159"/>
      <c r="T51" s="159"/>
      <c r="U51" s="159"/>
    </row>
    <row r="52" spans="2:21" s="158" customFormat="1" ht="15" customHeight="1" x14ac:dyDescent="0.35">
      <c r="B52" s="162"/>
      <c r="C52" s="215" t="s">
        <v>619</v>
      </c>
      <c r="D52" s="216"/>
      <c r="E52" s="216"/>
      <c r="F52" s="216"/>
      <c r="G52" s="216"/>
      <c r="H52" s="216"/>
      <c r="I52" s="216"/>
      <c r="J52" s="216"/>
      <c r="K52" s="216"/>
      <c r="L52" s="216"/>
      <c r="M52" s="216"/>
      <c r="N52" s="216"/>
      <c r="O52" s="216"/>
      <c r="P52" s="216"/>
      <c r="Q52" s="216"/>
      <c r="R52" s="216"/>
      <c r="S52" s="159"/>
      <c r="T52" s="159"/>
      <c r="U52" s="159"/>
    </row>
    <row r="53" spans="2:21" s="158" customFormat="1" ht="81" customHeight="1" x14ac:dyDescent="0.35">
      <c r="B53" s="162"/>
      <c r="C53" s="217" t="s">
        <v>645</v>
      </c>
      <c r="D53" s="218"/>
      <c r="E53" s="218"/>
      <c r="F53" s="218"/>
      <c r="G53" s="218"/>
      <c r="H53" s="218"/>
      <c r="I53" s="218"/>
      <c r="J53" s="218"/>
      <c r="K53" s="218"/>
      <c r="L53" s="218"/>
      <c r="M53" s="218"/>
      <c r="N53" s="218"/>
      <c r="O53" s="218"/>
      <c r="P53" s="218"/>
      <c r="Q53" s="218"/>
      <c r="R53" s="218"/>
      <c r="S53" s="159"/>
      <c r="T53" s="159"/>
      <c r="U53" s="159"/>
    </row>
    <row r="54" spans="2:21" s="158" customFormat="1" ht="15.75" customHeight="1" x14ac:dyDescent="0.35">
      <c r="B54" s="163">
        <v>4</v>
      </c>
      <c r="C54" s="213" t="s">
        <v>644</v>
      </c>
      <c r="D54" s="214"/>
      <c r="E54" s="214"/>
      <c r="F54" s="214"/>
      <c r="G54" s="214"/>
      <c r="H54" s="214"/>
      <c r="I54" s="214"/>
      <c r="J54" s="214"/>
      <c r="K54" s="214"/>
      <c r="L54" s="214"/>
      <c r="M54" s="214"/>
      <c r="N54" s="214"/>
      <c r="O54" s="214"/>
      <c r="P54" s="214"/>
      <c r="Q54" s="214"/>
      <c r="R54" s="214"/>
      <c r="S54" s="159"/>
      <c r="T54" s="159"/>
      <c r="U54" s="159"/>
    </row>
    <row r="55" spans="2:21" s="158" customFormat="1" ht="15" customHeight="1" x14ac:dyDescent="0.35">
      <c r="B55" s="162"/>
      <c r="C55" s="215" t="s">
        <v>619</v>
      </c>
      <c r="D55" s="216"/>
      <c r="E55" s="216"/>
      <c r="F55" s="216"/>
      <c r="G55" s="216"/>
      <c r="H55" s="216"/>
      <c r="I55" s="216"/>
      <c r="J55" s="216"/>
      <c r="K55" s="216"/>
      <c r="L55" s="216"/>
      <c r="M55" s="216"/>
      <c r="N55" s="216"/>
      <c r="O55" s="216"/>
      <c r="P55" s="216"/>
      <c r="Q55" s="216"/>
      <c r="R55" s="216"/>
      <c r="S55" s="159"/>
      <c r="T55" s="159"/>
      <c r="U55" s="159"/>
    </row>
    <row r="56" spans="2:21" s="158" customFormat="1" ht="67.5" customHeight="1" x14ac:dyDescent="0.35">
      <c r="B56" s="162"/>
      <c r="C56" s="217" t="s">
        <v>625</v>
      </c>
      <c r="D56" s="218"/>
      <c r="E56" s="218"/>
      <c r="F56" s="218"/>
      <c r="G56" s="218"/>
      <c r="H56" s="218"/>
      <c r="I56" s="218"/>
      <c r="J56" s="218"/>
      <c r="K56" s="218"/>
      <c r="L56" s="218"/>
      <c r="M56" s="218"/>
      <c r="N56" s="218"/>
      <c r="O56" s="218"/>
      <c r="P56" s="218"/>
      <c r="Q56" s="218"/>
      <c r="R56" s="218"/>
      <c r="S56" s="159"/>
      <c r="T56" s="159"/>
      <c r="U56" s="159"/>
    </row>
    <row r="57" spans="2:21" s="158" customFormat="1" ht="15.75" customHeight="1" x14ac:dyDescent="0.35">
      <c r="B57" s="164" t="s">
        <v>621</v>
      </c>
      <c r="C57" s="213" t="s">
        <v>644</v>
      </c>
      <c r="D57" s="214"/>
      <c r="E57" s="214"/>
      <c r="F57" s="214"/>
      <c r="G57" s="214"/>
      <c r="H57" s="214"/>
      <c r="I57" s="214"/>
      <c r="J57" s="214"/>
      <c r="K57" s="214"/>
      <c r="L57" s="214"/>
      <c r="M57" s="214"/>
      <c r="N57" s="214"/>
      <c r="O57" s="214"/>
      <c r="P57" s="214"/>
      <c r="Q57" s="214"/>
      <c r="R57" s="214"/>
      <c r="S57" s="159"/>
      <c r="T57" s="159"/>
      <c r="U57" s="159"/>
    </row>
    <row r="58" spans="2:21" s="158" customFormat="1" ht="15" customHeight="1" x14ac:dyDescent="0.35">
      <c r="B58" s="162"/>
      <c r="C58" s="215" t="s">
        <v>619</v>
      </c>
      <c r="D58" s="216"/>
      <c r="E58" s="216"/>
      <c r="F58" s="216"/>
      <c r="G58" s="216"/>
      <c r="H58" s="216"/>
      <c r="I58" s="216"/>
      <c r="J58" s="216"/>
      <c r="K58" s="216"/>
      <c r="L58" s="216"/>
      <c r="M58" s="216"/>
      <c r="N58" s="216"/>
      <c r="O58" s="216"/>
      <c r="P58" s="216"/>
      <c r="Q58" s="216"/>
      <c r="R58" s="216"/>
      <c r="S58" s="159"/>
      <c r="T58" s="159"/>
      <c r="U58" s="159"/>
    </row>
    <row r="59" spans="2:21" s="158" customFormat="1" ht="276" customHeight="1" x14ac:dyDescent="0.35">
      <c r="B59" s="162"/>
      <c r="C59" s="217" t="s">
        <v>626</v>
      </c>
      <c r="D59" s="218"/>
      <c r="E59" s="218"/>
      <c r="F59" s="218"/>
      <c r="G59" s="218"/>
      <c r="H59" s="218"/>
      <c r="I59" s="218"/>
      <c r="J59" s="218"/>
      <c r="K59" s="218"/>
      <c r="L59" s="218"/>
      <c r="M59" s="218"/>
      <c r="N59" s="218"/>
      <c r="O59" s="218"/>
      <c r="P59" s="218"/>
      <c r="Q59" s="218"/>
      <c r="R59" s="218"/>
      <c r="S59" s="159"/>
      <c r="T59" s="159"/>
      <c r="U59" s="159"/>
    </row>
    <row r="60" spans="2:21" x14ac:dyDescent="0.35">
      <c r="B60" s="76"/>
    </row>
    <row r="61" spans="2:21" x14ac:dyDescent="0.35">
      <c r="B61" s="76"/>
    </row>
    <row r="62" spans="2:21" x14ac:dyDescent="0.35">
      <c r="B62" s="76"/>
    </row>
    <row r="63" spans="2:21" x14ac:dyDescent="0.35">
      <c r="B63" s="76"/>
    </row>
    <row r="64" spans="2:21" x14ac:dyDescent="0.35">
      <c r="B64" s="76"/>
    </row>
    <row r="65" spans="2:2" x14ac:dyDescent="0.35">
      <c r="B65" s="76"/>
    </row>
    <row r="66" spans="2:2" x14ac:dyDescent="0.35">
      <c r="B66" s="76"/>
    </row>
    <row r="67" spans="2:2" x14ac:dyDescent="0.35">
      <c r="B67" s="76"/>
    </row>
    <row r="68" spans="2:2" x14ac:dyDescent="0.35">
      <c r="B68" s="76"/>
    </row>
    <row r="69" spans="2:2" x14ac:dyDescent="0.35">
      <c r="B69" s="76"/>
    </row>
    <row r="70" spans="2:2" x14ac:dyDescent="0.35">
      <c r="B70" s="76"/>
    </row>
    <row r="71" spans="2:2" x14ac:dyDescent="0.35">
      <c r="B71" s="76"/>
    </row>
    <row r="72" spans="2:2" x14ac:dyDescent="0.35">
      <c r="B72" s="76"/>
    </row>
    <row r="73" spans="2:2" x14ac:dyDescent="0.35">
      <c r="B73" s="76"/>
    </row>
    <row r="74" spans="2:2" x14ac:dyDescent="0.35">
      <c r="B74" s="76"/>
    </row>
    <row r="75" spans="2:2" x14ac:dyDescent="0.35">
      <c r="B75" s="76"/>
    </row>
    <row r="76" spans="2:2" x14ac:dyDescent="0.35">
      <c r="B76" s="76"/>
    </row>
    <row r="77" spans="2:2" x14ac:dyDescent="0.35">
      <c r="B77" s="76"/>
    </row>
    <row r="78" spans="2:2" x14ac:dyDescent="0.35">
      <c r="B78" s="76"/>
    </row>
    <row r="79" spans="2:2" x14ac:dyDescent="0.35">
      <c r="B79" s="76"/>
    </row>
    <row r="80" spans="2:2" x14ac:dyDescent="0.35">
      <c r="B80" s="76"/>
    </row>
    <row r="81" spans="2:2" x14ac:dyDescent="0.35">
      <c r="B81" s="76"/>
    </row>
    <row r="82" spans="2:2" x14ac:dyDescent="0.35">
      <c r="B82" s="76"/>
    </row>
    <row r="83" spans="2:2" x14ac:dyDescent="0.35">
      <c r="B83" s="76"/>
    </row>
    <row r="84" spans="2:2" x14ac:dyDescent="0.35">
      <c r="B84" s="76"/>
    </row>
    <row r="85" spans="2:2" x14ac:dyDescent="0.35">
      <c r="B85" s="76"/>
    </row>
    <row r="86" spans="2:2" x14ac:dyDescent="0.35">
      <c r="B86" s="76"/>
    </row>
    <row r="87" spans="2:2" x14ac:dyDescent="0.35">
      <c r="B87" s="76"/>
    </row>
  </sheetData>
  <sheetProtection sheet="1" objects="1" scenarios="1"/>
  <mergeCells count="60">
    <mergeCell ref="C33:R33"/>
    <mergeCell ref="C34:R34"/>
    <mergeCell ref="C35:R35"/>
    <mergeCell ref="B26:U26"/>
    <mergeCell ref="B29:U29"/>
    <mergeCell ref="B32:U32"/>
    <mergeCell ref="B30:U30"/>
    <mergeCell ref="B17:U17"/>
    <mergeCell ref="B28:U28"/>
    <mergeCell ref="B24:U24"/>
    <mergeCell ref="B18:U18"/>
    <mergeCell ref="B19:U19"/>
    <mergeCell ref="B27:U27"/>
    <mergeCell ref="B20:U20"/>
    <mergeCell ref="B21:U21"/>
    <mergeCell ref="B22:U22"/>
    <mergeCell ref="B23:U23"/>
    <mergeCell ref="B25:U25"/>
    <mergeCell ref="P3:Q3"/>
    <mergeCell ref="P4:Q4"/>
    <mergeCell ref="O11:U11"/>
    <mergeCell ref="R3:T3"/>
    <mergeCell ref="B5:L5"/>
    <mergeCell ref="O6:U6"/>
    <mergeCell ref="O7:U7"/>
    <mergeCell ref="B2:L2"/>
    <mergeCell ref="B3:L3"/>
    <mergeCell ref="B11:L11"/>
    <mergeCell ref="B4:L4"/>
    <mergeCell ref="B12:L12"/>
    <mergeCell ref="B6:L10"/>
    <mergeCell ref="O13:W13"/>
    <mergeCell ref="O8:U8"/>
    <mergeCell ref="O9:U9"/>
    <mergeCell ref="O10:U10"/>
    <mergeCell ref="O12:U12"/>
    <mergeCell ref="C59:R59"/>
    <mergeCell ref="C39:R39"/>
    <mergeCell ref="C40:R40"/>
    <mergeCell ref="C41:R41"/>
    <mergeCell ref="C42:R42"/>
    <mergeCell ref="C43:R43"/>
    <mergeCell ref="C44:R44"/>
    <mergeCell ref="C45:R45"/>
    <mergeCell ref="C46:R46"/>
    <mergeCell ref="C47:R47"/>
    <mergeCell ref="C48:R48"/>
    <mergeCell ref="C49:R49"/>
    <mergeCell ref="C50:R50"/>
    <mergeCell ref="C51:R51"/>
    <mergeCell ref="C52:R52"/>
    <mergeCell ref="C53:R53"/>
    <mergeCell ref="C36:R36"/>
    <mergeCell ref="C37:R37"/>
    <mergeCell ref="C38:R38"/>
    <mergeCell ref="C57:R57"/>
    <mergeCell ref="C58:R58"/>
    <mergeCell ref="C54:R54"/>
    <mergeCell ref="C55:R55"/>
    <mergeCell ref="C56:R56"/>
  </mergeCells>
  <hyperlinks>
    <hyperlink ref="C13" location="'Title Page'!A11" display="Title Page"/>
    <hyperlink ref="D13" location="GADCR!A3" display="GADCR"/>
    <hyperlink ref="E13" location="EPICS!A4" display="EPICS"/>
    <hyperlink ref="F13" location="'Action Items'!A2" display="Action Items"/>
    <hyperlink ref="G13" location="'Change Log'!A2" display="Change Log"/>
    <hyperlink ref="H13" location="'IS_Requirements Mapping'!A4" display="IS_Requirements Mapping"/>
    <hyperlink ref="I13" location="IS_Impacted_Systems_List!A4" display="IS_Impacted_Systems_List"/>
    <hyperlink ref="J13" location="'BRD Convert'!A2" display="BRD Convert"/>
    <hyperlink ref="K13" location="OBA!A1" display="OBA"/>
    <hyperlink ref="L13" location="'Reporting Questions'!A1" display="Reporting Questions"/>
    <hyperlink ref="B4" r:id="rId1" display="https://share.antheminc.com/sites/babw_discovery/BRM/Shared%20Discovery%20Resources/PROJECT%20NAME%20-%20BRD%20Initiation.xlsm"/>
    <hyperlink ref="B4:L4" r:id="rId2" display="Link to Most Recently Published Initiation Services BRD Template"/>
    <hyperlink ref="B22" r:id="rId3"/>
    <hyperlink ref="O7:U7" location="Critical_Guidelines_to_Follow_Title" display="1. Critical Guidelines to Follow"/>
    <hyperlink ref="O8:U8" location="Known_Issues_Title" display="2. Known Issues"/>
    <hyperlink ref="O9:U9" location="Release_Notes_Title" display="3. Release Notes"/>
    <hyperlink ref="O10:U10" location="JIRA_Formatting_Help" display="4. JIRA Formatting and Notation Help"/>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7116" r:id="rId7" name="Button 12">
              <controlPr defaultSize="0" print="0" autoFill="0" autoPict="0" macro="[0]!SendEmailToSupport">
                <anchor moveWithCells="1" sizeWithCells="1">
                  <from>
                    <xdr:col>17</xdr:col>
                    <xdr:colOff>12700</xdr:colOff>
                    <xdr:row>2</xdr:row>
                    <xdr:rowOff>50800</xdr:rowOff>
                  </from>
                  <to>
                    <xdr:col>19</xdr:col>
                    <xdr:colOff>342900</xdr:colOff>
                    <xdr:row>3</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itlePageSheet">
    <tabColor theme="7" tint="0.39997558519241921"/>
  </sheetPr>
  <dimension ref="A1:D54"/>
  <sheetViews>
    <sheetView tabSelected="1" topLeftCell="B37" zoomScaleNormal="100" workbookViewId="0">
      <selection activeCell="C45" sqref="C45"/>
    </sheetView>
  </sheetViews>
  <sheetFormatPr defaultColWidth="9.1796875" defaultRowHeight="14.5" x14ac:dyDescent="0.35"/>
  <cols>
    <col min="1" max="1" width="47.1796875" style="120" customWidth="1"/>
    <col min="2" max="2" width="63.54296875" style="120" customWidth="1"/>
    <col min="3" max="3" width="62.54296875" style="120" customWidth="1"/>
    <col min="4" max="4" width="14.54296875" style="120" customWidth="1"/>
    <col min="5" max="16384" width="9.1796875" style="120"/>
  </cols>
  <sheetData>
    <row r="1" spans="1:4" ht="16.5" customHeight="1" x14ac:dyDescent="0.35">
      <c r="A1" s="90" t="s">
        <v>563</v>
      </c>
      <c r="B1" s="123"/>
      <c r="C1" s="244" t="s">
        <v>594</v>
      </c>
      <c r="D1" s="245"/>
    </row>
    <row r="2" spans="1:4" ht="16.5" customHeight="1" x14ac:dyDescent="0.35">
      <c r="A2" s="90" t="s">
        <v>640</v>
      </c>
      <c r="B2" s="124"/>
      <c r="C2" s="244"/>
      <c r="D2" s="245"/>
    </row>
    <row r="3" spans="1:4" ht="16.5" customHeight="1" x14ac:dyDescent="0.35">
      <c r="A3" s="90" t="s">
        <v>562</v>
      </c>
      <c r="B3" s="123"/>
      <c r="C3" s="244"/>
      <c r="D3" s="245"/>
    </row>
    <row r="4" spans="1:4" ht="16.5" customHeight="1" x14ac:dyDescent="0.35">
      <c r="A4" s="90" t="s">
        <v>568</v>
      </c>
      <c r="B4" s="125"/>
      <c r="C4" s="246"/>
      <c r="D4" s="247"/>
    </row>
    <row r="5" spans="1:4" ht="16.5" customHeight="1" x14ac:dyDescent="0.35">
      <c r="A5" s="90" t="s">
        <v>564</v>
      </c>
      <c r="B5" s="123"/>
      <c r="C5" s="248"/>
      <c r="D5" s="249"/>
    </row>
    <row r="6" spans="1:4" ht="16.5" customHeight="1" x14ac:dyDescent="0.35">
      <c r="A6" s="90" t="s">
        <v>565</v>
      </c>
      <c r="B6" s="123"/>
      <c r="C6" s="248"/>
      <c r="D6" s="249"/>
    </row>
    <row r="7" spans="1:4" ht="16.5" customHeight="1" x14ac:dyDescent="0.35">
      <c r="A7" s="91" t="s">
        <v>528</v>
      </c>
      <c r="B7" s="123"/>
      <c r="C7" s="248"/>
      <c r="D7" s="249"/>
    </row>
    <row r="8" spans="1:4" ht="41.25" customHeight="1" x14ac:dyDescent="0.35">
      <c r="A8" s="92" t="s">
        <v>450</v>
      </c>
      <c r="B8" s="126" t="s">
        <v>662</v>
      </c>
      <c r="C8" s="250" t="s">
        <v>561</v>
      </c>
      <c r="D8" s="251"/>
    </row>
    <row r="9" spans="1:4" ht="16.5" customHeight="1" x14ac:dyDescent="0.35">
      <c r="A9" s="91" t="s">
        <v>538</v>
      </c>
      <c r="B9" s="127"/>
      <c r="C9" s="256"/>
      <c r="D9" s="257"/>
    </row>
    <row r="10" spans="1:4" ht="16.5" customHeight="1" thickBot="1" x14ac:dyDescent="0.4">
      <c r="A10" s="93" t="s">
        <v>612</v>
      </c>
      <c r="B10" s="128"/>
      <c r="C10" s="252" t="str">
        <f>CONCATENATE("Initiation BRD Template ", About!$O$2)</f>
        <v>Initiation BRD Template Version: 4.6.1</v>
      </c>
      <c r="D10" s="253"/>
    </row>
    <row r="11" spans="1:4" ht="97.5" customHeight="1" thickBot="1" x14ac:dyDescent="0.4">
      <c r="A11" s="238" t="s">
        <v>661</v>
      </c>
      <c r="B11" s="239"/>
      <c r="C11" s="254"/>
      <c r="D11" s="255"/>
    </row>
    <row r="12" spans="1:4" ht="18.5" x14ac:dyDescent="0.35">
      <c r="A12" s="88" t="s">
        <v>0</v>
      </c>
      <c r="B12" s="192" t="s">
        <v>663</v>
      </c>
    </row>
    <row r="13" spans="1:4" ht="18.5" x14ac:dyDescent="0.35">
      <c r="A13" s="89" t="s">
        <v>524</v>
      </c>
      <c r="B13" s="198" t="s">
        <v>664</v>
      </c>
    </row>
    <row r="14" spans="1:4" ht="19" thickBot="1" x14ac:dyDescent="0.4">
      <c r="A14" s="117"/>
      <c r="B14" s="64"/>
    </row>
    <row r="15" spans="1:4" ht="19" thickBot="1" x14ac:dyDescent="0.5">
      <c r="A15" s="240" t="s">
        <v>566</v>
      </c>
      <c r="B15" s="241"/>
    </row>
    <row r="16" spans="1:4" ht="18.5" x14ac:dyDescent="0.45">
      <c r="A16" s="118" t="s">
        <v>557</v>
      </c>
      <c r="B16" s="119">
        <f>B17+B18</f>
        <v>0</v>
      </c>
    </row>
    <row r="17" spans="1:4" ht="18.5" x14ac:dyDescent="0.45">
      <c r="A17" s="110" t="s">
        <v>77</v>
      </c>
      <c r="B17" s="108">
        <f>COUNTIF('Action Items'!$G$2:$G$1048576,"N")</f>
        <v>0</v>
      </c>
    </row>
    <row r="18" spans="1:4" ht="18.5" x14ac:dyDescent="0.45">
      <c r="A18" s="110" t="s">
        <v>76</v>
      </c>
      <c r="B18" s="108">
        <f>COUNTIF('Action Items'!$G$2:$G$1048576,"Y")</f>
        <v>0</v>
      </c>
    </row>
    <row r="19" spans="1:4" ht="18.5" x14ac:dyDescent="0.45">
      <c r="A19" s="110" t="s">
        <v>558</v>
      </c>
      <c r="B19" s="108">
        <f>COUNTIF(EPICS!$B$3:$B$1048576,"Capability")</f>
        <v>1</v>
      </c>
    </row>
    <row r="20" spans="1:4" ht="18.5" x14ac:dyDescent="0.45">
      <c r="A20" s="111" t="s">
        <v>111</v>
      </c>
      <c r="B20" s="108">
        <f>COUNTIF(EPICS!$B$3:$B$1048576,"Epic")</f>
        <v>15</v>
      </c>
    </row>
    <row r="21" spans="1:4" ht="18.5" x14ac:dyDescent="0.45">
      <c r="A21" s="112"/>
      <c r="B21" s="113"/>
    </row>
    <row r="22" spans="1:4" ht="18.5" x14ac:dyDescent="0.45">
      <c r="A22" s="112" t="s">
        <v>637</v>
      </c>
      <c r="B22" s="108">
        <f>COUNTA('Change Log'!$D$2:$D$1048576)</f>
        <v>9</v>
      </c>
    </row>
    <row r="23" spans="1:4" ht="18.5" x14ac:dyDescent="0.45">
      <c r="A23" s="110" t="s">
        <v>110</v>
      </c>
      <c r="B23" s="108">
        <f>COUNTIF(EPICS!$B$3:$B$1048576,"Story")</f>
        <v>0</v>
      </c>
    </row>
    <row r="24" spans="1:4" ht="18.5" x14ac:dyDescent="0.45">
      <c r="A24" s="191" t="s">
        <v>638</v>
      </c>
      <c r="B24" s="108">
        <f>COUNTA(IS_Impacted_Systems_List!$A$2:$A$1048576)</f>
        <v>2</v>
      </c>
    </row>
    <row r="25" spans="1:4" ht="19" thickBot="1" x14ac:dyDescent="0.5">
      <c r="A25" s="114" t="s">
        <v>559</v>
      </c>
      <c r="B25" s="109">
        <f>COUNTA('IS_Requirements Mapping'!$E$4:$E$1048576)</f>
        <v>0</v>
      </c>
    </row>
    <row r="26" spans="1:4" ht="19" thickBot="1" x14ac:dyDescent="0.5">
      <c r="A26" s="242" t="s">
        <v>82</v>
      </c>
      <c r="B26" s="243"/>
    </row>
    <row r="27" spans="1:4" ht="15" thickBot="1" x14ac:dyDescent="0.4">
      <c r="A27" s="86" t="s">
        <v>78</v>
      </c>
      <c r="B27" s="86" t="s">
        <v>2</v>
      </c>
      <c r="C27" s="86" t="s">
        <v>569</v>
      </c>
    </row>
    <row r="28" spans="1:4" x14ac:dyDescent="0.35">
      <c r="A28" s="129"/>
      <c r="B28" s="130"/>
      <c r="C28" s="131" t="str">
        <f>IF((ISBLANK($A28)),"",IF(COUNTIF(EPICS!$A$3:$A$1048576,CONCATENATE($A28,"*"))&gt;0,COUNTIF(EPICS!$A$3:$A$1048576,CONCATENATE($A28,"*"))-1,0))</f>
        <v/>
      </c>
    </row>
    <row r="29" spans="1:4" x14ac:dyDescent="0.35">
      <c r="A29" s="129"/>
      <c r="B29" s="130"/>
      <c r="C29" s="132" t="str">
        <f>IF((ISBLANK($A29)),"",IF(COUNTIF(EPICS!$A$3:$A$1048576,CONCATENATE($A29,"*"))&gt;0,COUNTIF(EPICS!$A$3:$A$1048576,CONCATENATE($A29,"*"))-1,0))</f>
        <v/>
      </c>
    </row>
    <row r="30" spans="1:4" x14ac:dyDescent="0.35">
      <c r="A30" s="33"/>
      <c r="B30" s="34"/>
      <c r="C30" s="132" t="str">
        <f>IF((ISBLANK($A30)),"",IF(COUNTIF(EPICS!$A$3:$A$1048576,CONCATENATE($A30,"*"))&gt;0,COUNTIF(EPICS!$A$3:$A$1048576,CONCATENATE($A30,"*"))-1,0))</f>
        <v/>
      </c>
    </row>
    <row r="31" spans="1:4" ht="15" thickBot="1" x14ac:dyDescent="0.4">
      <c r="A31" s="33"/>
      <c r="B31" s="34"/>
      <c r="C31" s="133" t="str">
        <f>IF((ISBLANK($A31)),"",IF(COUNTIF(EPICS!$A$3:$A$1048576,CONCATENATE($A31,"*"))&gt;0,COUNTIF(EPICS!$A$3:$A$1048576,CONCATENATE($A31,"*"))-1,0))</f>
        <v/>
      </c>
    </row>
    <row r="32" spans="1:4" x14ac:dyDescent="0.35">
      <c r="A32" s="208" t="s">
        <v>1</v>
      </c>
      <c r="B32" s="208" t="s">
        <v>2</v>
      </c>
      <c r="C32" s="121"/>
      <c r="D32" s="121"/>
    </row>
    <row r="33" spans="1:4" x14ac:dyDescent="0.35">
      <c r="A33" s="67" t="s">
        <v>723</v>
      </c>
      <c r="B33" s="68" t="s">
        <v>724</v>
      </c>
      <c r="C33" s="121"/>
      <c r="D33" s="121"/>
    </row>
    <row r="34" spans="1:4" x14ac:dyDescent="0.35">
      <c r="A34" s="67" t="s">
        <v>725</v>
      </c>
      <c r="B34" s="68" t="s">
        <v>726</v>
      </c>
      <c r="C34" s="121"/>
      <c r="D34" s="121"/>
    </row>
    <row r="35" spans="1:4" x14ac:dyDescent="0.35">
      <c r="A35" s="67" t="s">
        <v>727</v>
      </c>
      <c r="B35" s="68" t="s">
        <v>728</v>
      </c>
    </row>
    <row r="36" spans="1:4" x14ac:dyDescent="0.35">
      <c r="A36" s="67" t="s">
        <v>729</v>
      </c>
      <c r="B36" s="68" t="s">
        <v>730</v>
      </c>
    </row>
    <row r="37" spans="1:4" x14ac:dyDescent="0.35">
      <c r="A37" s="67" t="s">
        <v>731</v>
      </c>
      <c r="B37" s="68" t="s">
        <v>732</v>
      </c>
    </row>
    <row r="38" spans="1:4" x14ac:dyDescent="0.35">
      <c r="A38" s="65" t="s">
        <v>733</v>
      </c>
      <c r="B38" s="66" t="s">
        <v>734</v>
      </c>
    </row>
    <row r="39" spans="1:4" x14ac:dyDescent="0.35">
      <c r="A39" s="115"/>
      <c r="B39" s="116"/>
    </row>
    <row r="40" spans="1:4" x14ac:dyDescent="0.35">
      <c r="A40" s="67"/>
      <c r="B40" s="68"/>
    </row>
    <row r="41" spans="1:4" x14ac:dyDescent="0.35">
      <c r="A41" s="61"/>
      <c r="B41" s="62"/>
    </row>
    <row r="42" spans="1:4" ht="15" thickBot="1" x14ac:dyDescent="0.4">
      <c r="A42" s="63"/>
      <c r="B42" s="64"/>
    </row>
    <row r="43" spans="1:4" ht="15" thickBot="1" x14ac:dyDescent="0.4">
      <c r="A43" s="87" t="s">
        <v>3</v>
      </c>
      <c r="B43" s="87" t="s">
        <v>4</v>
      </c>
      <c r="C43" s="87" t="s">
        <v>5</v>
      </c>
      <c r="D43" s="87" t="s">
        <v>6</v>
      </c>
    </row>
    <row r="44" spans="1:4" ht="29" x14ac:dyDescent="0.35">
      <c r="A44" s="134" t="s">
        <v>529</v>
      </c>
      <c r="B44" s="135" t="s">
        <v>534</v>
      </c>
      <c r="C44" s="206" t="s">
        <v>719</v>
      </c>
      <c r="D44" s="136">
        <v>43706</v>
      </c>
    </row>
    <row r="45" spans="1:4" ht="87" x14ac:dyDescent="0.35">
      <c r="A45" s="137" t="s">
        <v>530</v>
      </c>
      <c r="B45" s="138" t="s">
        <v>536</v>
      </c>
      <c r="C45" s="207" t="s">
        <v>720</v>
      </c>
      <c r="D45" s="140">
        <v>43706</v>
      </c>
    </row>
    <row r="46" spans="1:4" ht="58" x14ac:dyDescent="0.35">
      <c r="A46" s="141" t="s">
        <v>535</v>
      </c>
      <c r="B46" s="142" t="s">
        <v>722</v>
      </c>
      <c r="C46" s="207" t="s">
        <v>721</v>
      </c>
      <c r="D46" s="140">
        <v>43706</v>
      </c>
    </row>
    <row r="47" spans="1:4" x14ac:dyDescent="0.35">
      <c r="A47" s="141" t="s">
        <v>654</v>
      </c>
      <c r="B47" s="142"/>
      <c r="C47" s="139"/>
      <c r="D47" s="140"/>
    </row>
    <row r="48" spans="1:4" x14ac:dyDescent="0.35">
      <c r="A48" s="141"/>
      <c r="B48" s="142"/>
      <c r="C48" s="139"/>
      <c r="D48" s="140"/>
    </row>
    <row r="49" spans="1:4" x14ac:dyDescent="0.35">
      <c r="A49" s="141"/>
      <c r="B49" s="166"/>
      <c r="C49" s="167"/>
      <c r="D49" s="140"/>
    </row>
    <row r="50" spans="1:4" x14ac:dyDescent="0.35">
      <c r="A50" s="165"/>
      <c r="B50" s="166"/>
      <c r="C50" s="167"/>
      <c r="D50" s="168"/>
    </row>
    <row r="51" spans="1:4" ht="15" thickBot="1" x14ac:dyDescent="0.4">
      <c r="A51" s="143"/>
      <c r="B51" s="144"/>
      <c r="C51" s="145"/>
      <c r="D51" s="146"/>
    </row>
    <row r="52" spans="1:4" x14ac:dyDescent="0.35">
      <c r="A52" s="122"/>
      <c r="B52" s="122"/>
    </row>
    <row r="53" spans="1:4" x14ac:dyDescent="0.35">
      <c r="A53" s="122"/>
      <c r="B53" s="122"/>
    </row>
    <row r="54" spans="1:4" x14ac:dyDescent="0.35">
      <c r="A54" s="122"/>
      <c r="B54" s="122"/>
    </row>
  </sheetData>
  <mergeCells count="12">
    <mergeCell ref="A11:B11"/>
    <mergeCell ref="A15:B15"/>
    <mergeCell ref="A26:B26"/>
    <mergeCell ref="C1:D3"/>
    <mergeCell ref="C4:D4"/>
    <mergeCell ref="C5:D5"/>
    <mergeCell ref="C6:D6"/>
    <mergeCell ref="C7:D7"/>
    <mergeCell ref="C8:D8"/>
    <mergeCell ref="C10:D10"/>
    <mergeCell ref="C11:D11"/>
    <mergeCell ref="C9:D9"/>
  </mergeCells>
  <conditionalFormatting sqref="C28:C29 A30:C31">
    <cfRule type="expression" dxfId="1" priority="4">
      <formula>AND(NOT(ISBLANK($A28)),$C28&gt;0)</formula>
    </cfRule>
  </conditionalFormatting>
  <conditionalFormatting sqref="A28:B29">
    <cfRule type="expression" dxfId="0" priority="1">
      <formula>AND(NOT(ISBLANK($A28)),$C28&gt;0)</formula>
    </cfRule>
  </conditionalFormatting>
  <hyperlinks>
    <hyperlink ref="C1:C3" r:id="rId1" display="How to Find the Initiative Issue Type's Information in JIRA by CWI Work ID or Wave ID "/>
    <hyperlink ref="C44" r:id="rId2"/>
    <hyperlink ref="C45" display="https://share.antheminc.com/sites/SEGov/Initiation%20Project%20Docs/Forms/AllItems.aspx?RootFolder=%2Fsites%2FSEGov%2FInitiation%20Project%20Docs%2FOne%20Anthem%2FMedicaid%20New%2DExisting%20Markets%20Growth%2FWV%20Foster%20Care%202020&amp;FolderCTID=0x012000"/>
    <hyperlink ref="C46" r:id="rId3"/>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0970" r:id="rId7" name="Button 10">
              <controlPr defaultSize="0" print="0" autoFill="0" autoPict="0" macro="[0]!JIRALoadCreation" altText="Create JIRA Imports">
                <anchor moveWithCells="1" sizeWithCells="1">
                  <from>
                    <xdr:col>2</xdr:col>
                    <xdr:colOff>19050</xdr:colOff>
                    <xdr:row>3</xdr:row>
                    <xdr:rowOff>12700</xdr:rowOff>
                  </from>
                  <to>
                    <xdr:col>2</xdr:col>
                    <xdr:colOff>2857500</xdr:colOff>
                    <xdr:row>5</xdr:row>
                    <xdr:rowOff>0</xdr:rowOff>
                  </to>
                </anchor>
              </controlPr>
            </control>
          </mc:Choice>
        </mc:AlternateContent>
        <mc:AlternateContent xmlns:mc="http://schemas.openxmlformats.org/markup-compatibility/2006">
          <mc:Choice Requires="x14">
            <control shapeId="40971" r:id="rId8" name="Button 11">
              <controlPr defaultSize="0" print="0" autoFill="0" autoPict="0" macro="[0]!StartBRDConversion">
                <anchor moveWithCells="1" sizeWithCells="1">
                  <from>
                    <xdr:col>2</xdr:col>
                    <xdr:colOff>19050</xdr:colOff>
                    <xdr:row>8</xdr:row>
                    <xdr:rowOff>0</xdr:rowOff>
                  </from>
                  <to>
                    <xdr:col>2</xdr:col>
                    <xdr:colOff>2857500</xdr:colOff>
                    <xdr:row>9</xdr:row>
                    <xdr:rowOff>190500</xdr:rowOff>
                  </to>
                </anchor>
              </controlPr>
            </control>
          </mc:Choice>
        </mc:AlternateContent>
        <mc:AlternateContent xmlns:mc="http://schemas.openxmlformats.org/markup-compatibility/2006">
          <mc:Choice Requires="x14">
            <control shapeId="40985" r:id="rId9" name="Button 25">
              <controlPr defaultSize="0" print="0" autoFill="0" autoPict="0" macro="[0]!AssignEPICSToCapabilities" altText="Link JIRA EPICs to JIRA Capabilities">
                <anchor moveWithCells="1" sizeWithCells="1">
                  <from>
                    <xdr:col>2</xdr:col>
                    <xdr:colOff>19050</xdr:colOff>
                    <xdr:row>5</xdr:row>
                    <xdr:rowOff>12700</xdr:rowOff>
                  </from>
                  <to>
                    <xdr:col>2</xdr:col>
                    <xdr:colOff>2857500</xdr:colOff>
                    <xdr:row>6</xdr:row>
                    <xdr:rowOff>0</xdr:rowOff>
                  </to>
                </anchor>
              </controlPr>
            </control>
          </mc:Choice>
        </mc:AlternateContent>
        <mc:AlternateContent xmlns:mc="http://schemas.openxmlformats.org/markup-compatibility/2006">
          <mc:Choice Requires="x14">
            <control shapeId="40986" r:id="rId10" name="Button 26">
              <controlPr defaultSize="0" print="0" autoFill="0" autoPict="0" macro="[0]!AssignStoriesToEpics" altText="Link JIRA Stories to JIRA EPICS">
                <anchor moveWithCells="1" sizeWithCells="1">
                  <from>
                    <xdr:col>2</xdr:col>
                    <xdr:colOff>19050</xdr:colOff>
                    <xdr:row>6</xdr:row>
                    <xdr:rowOff>12700</xdr:rowOff>
                  </from>
                  <to>
                    <xdr:col>2</xdr:col>
                    <xdr:colOff>2857500</xdr:colOff>
                    <xdr:row>7</xdr:row>
                    <xdr:rowOff>0</xdr:rowOff>
                  </to>
                </anchor>
              </controlPr>
            </control>
          </mc:Choice>
        </mc:AlternateContent>
        <mc:AlternateContent xmlns:mc="http://schemas.openxmlformats.org/markup-compatibility/2006">
          <mc:Choice Requires="x14">
            <control shapeId="40987" r:id="rId11" name="Button 27">
              <controlPr defaultSize="0" print="0" autoFill="0" autoPict="0" macro="[0]!CopyJIRAGADCRSheet">
                <anchor moveWithCells="1" sizeWithCells="1">
                  <from>
                    <xdr:col>2</xdr:col>
                    <xdr:colOff>2889250</xdr:colOff>
                    <xdr:row>3</xdr:row>
                    <xdr:rowOff>12700</xdr:rowOff>
                  </from>
                  <to>
                    <xdr:col>3</xdr:col>
                    <xdr:colOff>952500</xdr:colOff>
                    <xdr:row>4</xdr:row>
                    <xdr:rowOff>0</xdr:rowOff>
                  </to>
                </anchor>
              </controlPr>
            </control>
          </mc:Choice>
        </mc:AlternateContent>
        <mc:AlternateContent xmlns:mc="http://schemas.openxmlformats.org/markup-compatibility/2006">
          <mc:Choice Requires="x14">
            <control shapeId="40988" r:id="rId12" name="Button 28">
              <controlPr defaultSize="0" print="0" autoFill="0" autoPict="0" macro="[0]!CopyJIRACapSheet">
                <anchor moveWithCells="1" sizeWithCells="1">
                  <from>
                    <xdr:col>2</xdr:col>
                    <xdr:colOff>2889250</xdr:colOff>
                    <xdr:row>4</xdr:row>
                    <xdr:rowOff>12700</xdr:rowOff>
                  </from>
                  <to>
                    <xdr:col>3</xdr:col>
                    <xdr:colOff>952500</xdr:colOff>
                    <xdr:row>5</xdr:row>
                    <xdr:rowOff>0</xdr:rowOff>
                  </to>
                </anchor>
              </controlPr>
            </control>
          </mc:Choice>
        </mc:AlternateContent>
        <mc:AlternateContent xmlns:mc="http://schemas.openxmlformats.org/markup-compatibility/2006">
          <mc:Choice Requires="x14">
            <control shapeId="40989" r:id="rId13" name="Button 29">
              <controlPr defaultSize="0" print="0" autoFill="0" autoPict="0" macro="[0]!CopyJIRAEPICSheet">
                <anchor moveWithCells="1" sizeWithCells="1">
                  <from>
                    <xdr:col>2</xdr:col>
                    <xdr:colOff>2889250</xdr:colOff>
                    <xdr:row>5</xdr:row>
                    <xdr:rowOff>12700</xdr:rowOff>
                  </from>
                  <to>
                    <xdr:col>3</xdr:col>
                    <xdr:colOff>952500</xdr:colOff>
                    <xdr:row>6</xdr:row>
                    <xdr:rowOff>0</xdr:rowOff>
                  </to>
                </anchor>
              </controlPr>
            </control>
          </mc:Choice>
        </mc:AlternateContent>
        <mc:AlternateContent xmlns:mc="http://schemas.openxmlformats.org/markup-compatibility/2006">
          <mc:Choice Requires="x14">
            <control shapeId="40990" r:id="rId14" name="Button 30">
              <controlPr defaultSize="0" print="0" autoFill="0" autoPict="0" macro="[0]!CopyJIRAStorySheet">
                <anchor moveWithCells="1" sizeWithCells="1">
                  <from>
                    <xdr:col>2</xdr:col>
                    <xdr:colOff>2889250</xdr:colOff>
                    <xdr:row>6</xdr:row>
                    <xdr:rowOff>12700</xdr:rowOff>
                  </from>
                  <to>
                    <xdr:col>3</xdr:col>
                    <xdr:colOff>952500</xdr:colOff>
                    <xdr:row>7</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GADCRSheet">
    <tabColor theme="5" tint="0.39997558519241921"/>
  </sheetPr>
  <dimension ref="A1:K35"/>
  <sheetViews>
    <sheetView zoomScale="110" zoomScaleNormal="110" workbookViewId="0">
      <pane ySplit="1" topLeftCell="A10" activePane="bottomLeft" state="frozen"/>
      <selection pane="bottomLeft" activeCell="A10" sqref="A10"/>
    </sheetView>
  </sheetViews>
  <sheetFormatPr defaultColWidth="9.1796875" defaultRowHeight="14.5" x14ac:dyDescent="0.35"/>
  <cols>
    <col min="1" max="1" width="100" style="30" customWidth="1"/>
    <col min="2" max="2" width="18" style="31" customWidth="1"/>
    <col min="3" max="3" width="10.26953125" style="32" bestFit="1" customWidth="1"/>
    <col min="4" max="4" width="92.453125" style="4" customWidth="1"/>
    <col min="5" max="16384" width="9.1796875" style="4"/>
  </cols>
  <sheetData>
    <row r="1" spans="1:4" s="58" customFormat="1" ht="20.25" customHeight="1" thickBot="1" x14ac:dyDescent="0.4">
      <c r="A1" s="55"/>
      <c r="B1" s="56"/>
      <c r="C1" s="57"/>
    </row>
    <row r="2" spans="1:4" s="11" customFormat="1" x14ac:dyDescent="0.35">
      <c r="A2" s="147" t="s">
        <v>7</v>
      </c>
      <c r="B2" s="147" t="s">
        <v>106</v>
      </c>
      <c r="C2" s="147" t="s">
        <v>75</v>
      </c>
    </row>
    <row r="3" spans="1:4" s="11" customFormat="1" ht="101.5" x14ac:dyDescent="0.35">
      <c r="A3" s="69" t="s">
        <v>665</v>
      </c>
      <c r="B3" s="59"/>
      <c r="C3" s="60"/>
      <c r="D3" s="70"/>
    </row>
    <row r="4" spans="1:4" s="11" customFormat="1" ht="29" x14ac:dyDescent="0.35">
      <c r="A4" s="69" t="s">
        <v>674</v>
      </c>
      <c r="B4" s="59"/>
      <c r="C4" s="60"/>
      <c r="D4" s="70"/>
    </row>
    <row r="5" spans="1:4" s="11" customFormat="1" x14ac:dyDescent="0.35">
      <c r="A5" s="69"/>
      <c r="B5" s="59"/>
      <c r="C5" s="60"/>
      <c r="D5" s="70"/>
    </row>
    <row r="6" spans="1:4" s="11" customFormat="1" ht="101.5" x14ac:dyDescent="0.35">
      <c r="A6" s="209" t="s">
        <v>669</v>
      </c>
      <c r="B6" s="59">
        <v>43706</v>
      </c>
      <c r="C6" s="60" t="s">
        <v>666</v>
      </c>
      <c r="D6" s="70"/>
    </row>
    <row r="7" spans="1:4" s="11" customFormat="1" ht="87" x14ac:dyDescent="0.35">
      <c r="A7" s="69" t="s">
        <v>668</v>
      </c>
      <c r="B7" s="59">
        <v>43706</v>
      </c>
      <c r="C7" s="60" t="s">
        <v>666</v>
      </c>
      <c r="D7" s="70"/>
    </row>
    <row r="8" spans="1:4" s="11" customFormat="1" ht="87" x14ac:dyDescent="0.35">
      <c r="A8" s="209" t="s">
        <v>667</v>
      </c>
      <c r="B8" s="59">
        <v>43706</v>
      </c>
      <c r="C8" s="60" t="s">
        <v>666</v>
      </c>
      <c r="D8" s="70"/>
    </row>
    <row r="9" spans="1:4" s="11" customFormat="1" ht="58" x14ac:dyDescent="0.35">
      <c r="A9" s="69" t="s">
        <v>670</v>
      </c>
      <c r="B9" s="59">
        <v>43706</v>
      </c>
      <c r="C9" s="60" t="s">
        <v>666</v>
      </c>
      <c r="D9" s="70"/>
    </row>
    <row r="10" spans="1:4" s="11" customFormat="1" ht="261" x14ac:dyDescent="0.35">
      <c r="A10" s="69" t="s">
        <v>780</v>
      </c>
      <c r="B10" s="59">
        <v>43706</v>
      </c>
      <c r="C10" s="60" t="s">
        <v>666</v>
      </c>
      <c r="D10" s="70"/>
    </row>
    <row r="11" spans="1:4" s="11" customFormat="1" x14ac:dyDescent="0.35">
      <c r="A11" s="69" t="s">
        <v>671</v>
      </c>
      <c r="B11" s="59">
        <v>43706</v>
      </c>
      <c r="C11" s="60" t="s">
        <v>666</v>
      </c>
      <c r="D11" s="70"/>
    </row>
    <row r="12" spans="1:4" s="11" customFormat="1" ht="43.5" x14ac:dyDescent="0.35">
      <c r="A12" s="209" t="s">
        <v>672</v>
      </c>
      <c r="B12" s="59">
        <v>43706</v>
      </c>
      <c r="C12" s="60" t="s">
        <v>666</v>
      </c>
      <c r="D12" s="70"/>
    </row>
    <row r="13" spans="1:4" s="11" customFormat="1" ht="72.5" x14ac:dyDescent="0.35">
      <c r="A13" s="69" t="s">
        <v>736</v>
      </c>
      <c r="B13" s="59">
        <v>43706</v>
      </c>
      <c r="C13" s="60" t="s">
        <v>666</v>
      </c>
      <c r="D13" s="70"/>
    </row>
    <row r="14" spans="1:4" s="11" customFormat="1" x14ac:dyDescent="0.35">
      <c r="A14" s="147" t="s">
        <v>560</v>
      </c>
      <c r="B14" s="147" t="s">
        <v>106</v>
      </c>
      <c r="C14" s="147" t="s">
        <v>75</v>
      </c>
    </row>
    <row r="15" spans="1:4" s="11" customFormat="1" x14ac:dyDescent="0.35">
      <c r="A15" s="60" t="s">
        <v>677</v>
      </c>
      <c r="B15" s="147"/>
      <c r="C15" s="147"/>
    </row>
    <row r="16" spans="1:4" x14ac:dyDescent="0.35">
      <c r="A16" s="60" t="s">
        <v>673</v>
      </c>
      <c r="B16" s="59"/>
      <c r="C16" s="60"/>
      <c r="D16" s="11"/>
    </row>
    <row r="17" spans="1:11" x14ac:dyDescent="0.35">
      <c r="A17" s="203" t="s">
        <v>676</v>
      </c>
      <c r="B17" s="59">
        <v>43706</v>
      </c>
      <c r="C17" s="60" t="s">
        <v>666</v>
      </c>
      <c r="D17" s="11"/>
    </row>
    <row r="18" spans="1:11" ht="29" x14ac:dyDescent="0.35">
      <c r="A18" s="204" t="s">
        <v>675</v>
      </c>
      <c r="B18" s="59">
        <v>43706</v>
      </c>
      <c r="C18" s="60" t="s">
        <v>666</v>
      </c>
      <c r="D18" s="11"/>
    </row>
    <row r="19" spans="1:11" x14ac:dyDescent="0.35">
      <c r="A19" s="69" t="s">
        <v>756</v>
      </c>
      <c r="B19" s="59">
        <v>43707</v>
      </c>
      <c r="C19" s="60" t="s">
        <v>666</v>
      </c>
      <c r="D19" s="11"/>
    </row>
    <row r="20" spans="1:11" x14ac:dyDescent="0.35">
      <c r="A20" s="69" t="s">
        <v>757</v>
      </c>
      <c r="B20" s="59">
        <v>43707</v>
      </c>
      <c r="C20" s="60" t="s">
        <v>666</v>
      </c>
      <c r="D20" s="11"/>
    </row>
    <row r="21" spans="1:11" x14ac:dyDescent="0.35">
      <c r="A21" s="69" t="s">
        <v>758</v>
      </c>
      <c r="B21" s="59">
        <v>43707</v>
      </c>
      <c r="C21" s="60" t="s">
        <v>666</v>
      </c>
      <c r="D21" s="11"/>
    </row>
    <row r="22" spans="1:11" x14ac:dyDescent="0.35">
      <c r="A22" s="69" t="s">
        <v>759</v>
      </c>
      <c r="B22" s="59">
        <v>43707</v>
      </c>
      <c r="C22" s="60" t="s">
        <v>666</v>
      </c>
      <c r="D22" s="11"/>
    </row>
    <row r="23" spans="1:11" x14ac:dyDescent="0.35">
      <c r="A23" s="69" t="s">
        <v>760</v>
      </c>
      <c r="B23" s="59">
        <v>43707</v>
      </c>
      <c r="C23" s="60" t="s">
        <v>666</v>
      </c>
      <c r="D23" s="11"/>
    </row>
    <row r="24" spans="1:11" ht="29" x14ac:dyDescent="0.35">
      <c r="A24" s="69" t="s">
        <v>761</v>
      </c>
      <c r="B24" s="59">
        <v>43707</v>
      </c>
      <c r="C24" s="60" t="s">
        <v>666</v>
      </c>
      <c r="D24" s="11"/>
    </row>
    <row r="25" spans="1:11" x14ac:dyDescent="0.35">
      <c r="A25" s="69" t="s">
        <v>763</v>
      </c>
      <c r="B25" s="59">
        <v>43707</v>
      </c>
      <c r="C25" s="60" t="s">
        <v>666</v>
      </c>
      <c r="D25" s="11"/>
    </row>
    <row r="26" spans="1:11" x14ac:dyDescent="0.35">
      <c r="A26" s="69" t="s">
        <v>762</v>
      </c>
      <c r="B26" s="59">
        <v>43707</v>
      </c>
      <c r="C26" s="60" t="s">
        <v>666</v>
      </c>
      <c r="D26" s="11"/>
    </row>
    <row r="27" spans="1:11" x14ac:dyDescent="0.35">
      <c r="A27" s="69" t="s">
        <v>764</v>
      </c>
      <c r="B27" s="59">
        <v>43707</v>
      </c>
      <c r="C27" s="60" t="s">
        <v>666</v>
      </c>
      <c r="D27" s="11"/>
    </row>
    <row r="28" spans="1:11" x14ac:dyDescent="0.35">
      <c r="A28" s="69" t="s">
        <v>739</v>
      </c>
      <c r="B28" s="59">
        <v>43707</v>
      </c>
      <c r="C28" s="60" t="s">
        <v>666</v>
      </c>
      <c r="D28" s="11"/>
    </row>
    <row r="29" spans="1:11" x14ac:dyDescent="0.35">
      <c r="A29" s="147" t="s">
        <v>533</v>
      </c>
      <c r="B29" s="147" t="s">
        <v>106</v>
      </c>
      <c r="C29" s="147" t="s">
        <v>75</v>
      </c>
      <c r="D29" s="11"/>
    </row>
    <row r="30" spans="1:11" x14ac:dyDescent="0.35">
      <c r="A30" s="60"/>
      <c r="B30" s="59"/>
      <c r="C30" s="60"/>
      <c r="D30" s="11"/>
      <c r="E30" s="11"/>
      <c r="F30" s="11"/>
      <c r="G30" s="11"/>
      <c r="H30" s="11"/>
      <c r="I30" s="11"/>
      <c r="J30" s="11"/>
      <c r="K30" s="11"/>
    </row>
    <row r="31" spans="1:11" x14ac:dyDescent="0.35">
      <c r="A31" s="148" t="s">
        <v>29</v>
      </c>
      <c r="B31" s="147" t="s">
        <v>106</v>
      </c>
      <c r="C31" s="147" t="s">
        <v>75</v>
      </c>
    </row>
    <row r="32" spans="1:11" x14ac:dyDescent="0.35">
      <c r="A32" s="60"/>
      <c r="B32" s="59"/>
      <c r="C32" s="60"/>
    </row>
    <row r="33" spans="1:3" x14ac:dyDescent="0.35">
      <c r="A33" s="148" t="s">
        <v>107</v>
      </c>
      <c r="B33" s="147" t="s">
        <v>106</v>
      </c>
      <c r="C33" s="147" t="s">
        <v>75</v>
      </c>
    </row>
    <row r="34" spans="1:3" x14ac:dyDescent="0.35">
      <c r="A34" s="54"/>
      <c r="B34" s="59"/>
      <c r="C34" s="60"/>
    </row>
    <row r="35" spans="1:3" x14ac:dyDescent="0.35">
      <c r="A35" s="149" t="s">
        <v>525</v>
      </c>
      <c r="B35" s="147" t="s">
        <v>106</v>
      </c>
      <c r="C35" s="147" t="s">
        <v>75</v>
      </c>
    </row>
  </sheetData>
  <sheetProtection formatCells="0" insertRows="0" deleteRows="0" autoFilter="0"/>
  <customSheetViews>
    <customSheetView guid="{0FDF722F-6BE5-40CC-8643-96FA7475187B}">
      <pane ySplit="1" topLeftCell="A2" activePane="bottomLeft" state="frozen"/>
      <selection pane="bottomLeft" activeCell="A18" sqref="A18"/>
      <pageMargins left="0" right="0" top="0" bottom="0" header="0" footer="0"/>
      <pageSetup orientation="portrait" r:id="rId1"/>
    </customSheetView>
  </customSheetViews>
  <pageMargins left="0" right="0" top="0" bottom="0" header="0" footer="0"/>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150" r:id="rId5" name="Button 6">
              <controlPr defaultSize="0" print="0" autoFill="0" autoPict="0" macro="[0]!AddGP">
                <anchor>
                  <from>
                    <xdr:col>0</xdr:col>
                    <xdr:colOff>12700</xdr:colOff>
                    <xdr:row>0</xdr:row>
                    <xdr:rowOff>0</xdr:rowOff>
                  </from>
                  <to>
                    <xdr:col>0</xdr:col>
                    <xdr:colOff>1200150</xdr:colOff>
                    <xdr:row>0</xdr:row>
                    <xdr:rowOff>203200</xdr:rowOff>
                  </to>
                </anchor>
              </controlPr>
            </control>
          </mc:Choice>
        </mc:AlternateContent>
        <mc:AlternateContent xmlns:mc="http://schemas.openxmlformats.org/markup-compatibility/2006">
          <mc:Choice Requires="x14">
            <control shapeId="6157" r:id="rId6" name="Button 13">
              <controlPr defaultSize="0" print="0" autoFill="0" autoPict="0" macro="[0]!AddAssumption" altText="Add Assumption">
                <anchor>
                  <from>
                    <xdr:col>0</xdr:col>
                    <xdr:colOff>1212850</xdr:colOff>
                    <xdr:row>0</xdr:row>
                    <xdr:rowOff>0</xdr:rowOff>
                  </from>
                  <to>
                    <xdr:col>0</xdr:col>
                    <xdr:colOff>2400300</xdr:colOff>
                    <xdr:row>0</xdr:row>
                    <xdr:rowOff>203200</xdr:rowOff>
                  </to>
                </anchor>
              </controlPr>
            </control>
          </mc:Choice>
        </mc:AlternateContent>
        <mc:AlternateContent xmlns:mc="http://schemas.openxmlformats.org/markup-compatibility/2006">
          <mc:Choice Requires="x14">
            <control shapeId="6159" r:id="rId7" name="Button 15">
              <controlPr defaultSize="0" print="0" autoFill="0" autoPict="0" macro="[0]!AddDependency">
                <anchor>
                  <from>
                    <xdr:col>0</xdr:col>
                    <xdr:colOff>2413000</xdr:colOff>
                    <xdr:row>0</xdr:row>
                    <xdr:rowOff>0</xdr:rowOff>
                  </from>
                  <to>
                    <xdr:col>0</xdr:col>
                    <xdr:colOff>3600450</xdr:colOff>
                    <xdr:row>0</xdr:row>
                    <xdr:rowOff>203200</xdr:rowOff>
                  </to>
                </anchor>
              </controlPr>
            </control>
          </mc:Choice>
        </mc:AlternateContent>
        <mc:AlternateContent xmlns:mc="http://schemas.openxmlformats.org/markup-compatibility/2006">
          <mc:Choice Requires="x14">
            <control shapeId="6160" r:id="rId8" name="Button 16">
              <controlPr defaultSize="0" print="0" autoFill="0" autoPict="0" macro="[0]!AddConstraint">
                <anchor>
                  <from>
                    <xdr:col>0</xdr:col>
                    <xdr:colOff>3613150</xdr:colOff>
                    <xdr:row>0</xdr:row>
                    <xdr:rowOff>0</xdr:rowOff>
                  </from>
                  <to>
                    <xdr:col>0</xdr:col>
                    <xdr:colOff>4800600</xdr:colOff>
                    <xdr:row>0</xdr:row>
                    <xdr:rowOff>203200</xdr:rowOff>
                  </to>
                </anchor>
              </controlPr>
            </control>
          </mc:Choice>
        </mc:AlternateContent>
        <mc:AlternateContent xmlns:mc="http://schemas.openxmlformats.org/markup-compatibility/2006">
          <mc:Choice Requires="x14">
            <control shapeId="6171" r:id="rId9" name="Button 27">
              <controlPr defaultSize="0" print="0" autoFill="0" autoPict="0" macro="[0]!MoveUpGADCRRow">
                <anchor>
                  <from>
                    <xdr:col>3</xdr:col>
                    <xdr:colOff>1365250</xdr:colOff>
                    <xdr:row>0</xdr:row>
                    <xdr:rowOff>0</xdr:rowOff>
                  </from>
                  <to>
                    <xdr:col>3</xdr:col>
                    <xdr:colOff>2552700</xdr:colOff>
                    <xdr:row>0</xdr:row>
                    <xdr:rowOff>203200</xdr:rowOff>
                  </to>
                </anchor>
              </controlPr>
            </control>
          </mc:Choice>
        </mc:AlternateContent>
        <mc:AlternateContent xmlns:mc="http://schemas.openxmlformats.org/markup-compatibility/2006">
          <mc:Choice Requires="x14">
            <control shapeId="6172" r:id="rId10" name="Button 28">
              <controlPr defaultSize="0" print="0" autoFill="0" autoPict="0" macro="[0]!MoveDownGADCRRow">
                <anchor>
                  <from>
                    <xdr:col>3</xdr:col>
                    <xdr:colOff>2565400</xdr:colOff>
                    <xdr:row>0</xdr:row>
                    <xdr:rowOff>0</xdr:rowOff>
                  </from>
                  <to>
                    <xdr:col>3</xdr:col>
                    <xdr:colOff>3752850</xdr:colOff>
                    <xdr:row>0</xdr:row>
                    <xdr:rowOff>203200</xdr:rowOff>
                  </to>
                </anchor>
              </controlPr>
            </control>
          </mc:Choice>
        </mc:AlternateContent>
        <mc:AlternateContent xmlns:mc="http://schemas.openxmlformats.org/markup-compatibility/2006">
          <mc:Choice Requires="x14">
            <control shapeId="6173" r:id="rId11" name="Button 29">
              <controlPr defaultSize="0" print="0" autoFill="0" autoPict="0" macro="[0]!AddDefinition" altText="Add Term/Definition">
                <anchor>
                  <from>
                    <xdr:col>0</xdr:col>
                    <xdr:colOff>6013450</xdr:colOff>
                    <xdr:row>0</xdr:row>
                    <xdr:rowOff>0</xdr:rowOff>
                  </from>
                  <to>
                    <xdr:col>1</xdr:col>
                    <xdr:colOff>533400</xdr:colOff>
                    <xdr:row>0</xdr:row>
                    <xdr:rowOff>203200</xdr:rowOff>
                  </to>
                </anchor>
              </controlPr>
            </control>
          </mc:Choice>
        </mc:AlternateContent>
        <mc:AlternateContent xmlns:mc="http://schemas.openxmlformats.org/markup-compatibility/2006">
          <mc:Choice Requires="x14">
            <control shapeId="6174" r:id="rId12" name="Button 30">
              <controlPr defaultSize="0" print="0" autoFill="0" autoPict="0" macro="[0]!AddRisk">
                <anchor>
                  <from>
                    <xdr:col>0</xdr:col>
                    <xdr:colOff>4813300</xdr:colOff>
                    <xdr:row>0</xdr:row>
                    <xdr:rowOff>0</xdr:rowOff>
                  </from>
                  <to>
                    <xdr:col>0</xdr:col>
                    <xdr:colOff>6000750</xdr:colOff>
                    <xdr:row>0</xdr:row>
                    <xdr:rowOff>203200</xdr:rowOff>
                  </to>
                </anchor>
              </controlPr>
            </control>
          </mc:Choice>
        </mc:AlternateContent>
        <mc:AlternateContent xmlns:mc="http://schemas.openxmlformats.org/markup-compatibility/2006">
          <mc:Choice Requires="x14">
            <control shapeId="6177" r:id="rId13" name="Button 33">
              <controlPr defaultSize="0" print="0" autoFill="0" autoPict="0" macro="[0]!RemoveSelectedGADCRRecord" altText="Remove Selected Row">
                <anchor>
                  <from>
                    <xdr:col>3</xdr:col>
                    <xdr:colOff>12700</xdr:colOff>
                    <xdr:row>0</xdr:row>
                    <xdr:rowOff>0</xdr:rowOff>
                  </from>
                  <to>
                    <xdr:col>3</xdr:col>
                    <xdr:colOff>1200150</xdr:colOff>
                    <xdr:row>0</xdr:row>
                    <xdr:rowOff>203200</xdr:rowOff>
                  </to>
                </anchor>
              </controlPr>
            </control>
          </mc:Choice>
        </mc:AlternateContent>
        <mc:AlternateContent xmlns:mc="http://schemas.openxmlformats.org/markup-compatibility/2006">
          <mc:Choice Requires="x14">
            <control shapeId="6178" r:id="rId14" name="Button 34">
              <controlPr defaultSize="0" print="0" autoFill="0" autoPict="0" macro="[0]!AddActionItem">
                <anchor>
                  <from>
                    <xdr:col>1</xdr:col>
                    <xdr:colOff>546100</xdr:colOff>
                    <xdr:row>0</xdr:row>
                    <xdr:rowOff>0</xdr:rowOff>
                  </from>
                  <to>
                    <xdr:col>2</xdr:col>
                    <xdr:colOff>533400</xdr:colOff>
                    <xdr:row>0</xdr:row>
                    <xdr:rowOff>203200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lowsSheet">
    <tabColor theme="4" tint="0.59999389629810485"/>
  </sheetPr>
  <dimension ref="A1:A37"/>
  <sheetViews>
    <sheetView zoomScaleNormal="100" workbookViewId="0">
      <selection activeCell="A16" sqref="A16"/>
    </sheetView>
  </sheetViews>
  <sheetFormatPr defaultRowHeight="14.5" x14ac:dyDescent="0.35"/>
  <cols>
    <col min="1" max="1" width="44.1796875" customWidth="1"/>
    <col min="2" max="2" width="35.54296875" customWidth="1"/>
    <col min="3" max="3" width="19.1796875" customWidth="1"/>
    <col min="4" max="4" width="62.54296875" customWidth="1"/>
  </cols>
  <sheetData>
    <row r="1" spans="1:1" x14ac:dyDescent="0.35">
      <c r="A1" s="1" t="s">
        <v>8</v>
      </c>
    </row>
    <row r="2" spans="1:1" x14ac:dyDescent="0.35">
      <c r="A2" t="s">
        <v>9</v>
      </c>
    </row>
    <row r="3" spans="1:1" x14ac:dyDescent="0.35">
      <c r="A3" t="s">
        <v>10</v>
      </c>
    </row>
    <row r="4" spans="1:1" x14ac:dyDescent="0.35">
      <c r="A4" s="1" t="s">
        <v>11</v>
      </c>
    </row>
    <row r="5" spans="1:1" ht="15" customHeight="1" x14ac:dyDescent="0.35">
      <c r="A5" t="s">
        <v>9</v>
      </c>
    </row>
    <row r="6" spans="1:1" x14ac:dyDescent="0.35">
      <c r="A6" t="s">
        <v>10</v>
      </c>
    </row>
    <row r="8" spans="1:1" ht="31" x14ac:dyDescent="0.7">
      <c r="A8" s="3" t="s">
        <v>31</v>
      </c>
    </row>
    <row r="37" spans="1:1" ht="31" x14ac:dyDescent="0.7">
      <c r="A37" s="3" t="s">
        <v>32</v>
      </c>
    </row>
  </sheetData>
  <customSheetViews>
    <customSheetView guid="{0FDF722F-6BE5-40CC-8643-96FA7475187B}">
      <selection activeCell="F14" sqref="F14"/>
      <pageMargins left="0.7" right="0.7" top="0.75" bottom="0.75" header="0.3" footer="0.3"/>
      <pageSetup orientation="portrait" r:id="rId1"/>
    </customSheetView>
  </customSheetView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picsSheet">
    <tabColor theme="5" tint="0.39997558519241921"/>
  </sheetPr>
  <dimension ref="A1:L19"/>
  <sheetViews>
    <sheetView zoomScaleNormal="100" workbookViewId="0">
      <pane ySplit="3" topLeftCell="A4" activePane="bottomLeft" state="frozenSplit"/>
      <selection pane="bottomLeft" activeCell="D9" sqref="D9"/>
    </sheetView>
  </sheetViews>
  <sheetFormatPr defaultColWidth="9.1796875" defaultRowHeight="14.5" x14ac:dyDescent="0.35"/>
  <cols>
    <col min="1" max="1" width="14" style="49" customWidth="1"/>
    <col min="2" max="2" width="17.7265625" style="49" customWidth="1"/>
    <col min="3" max="3" width="22.26953125" style="49" customWidth="1"/>
    <col min="4" max="4" width="56.26953125" style="49" customWidth="1"/>
    <col min="5" max="5" width="45.453125" style="50" customWidth="1"/>
    <col min="6" max="6" width="21.1796875" style="49" customWidth="1"/>
    <col min="7" max="7" width="18.7265625" style="49" customWidth="1"/>
    <col min="8" max="8" width="15.7265625" style="49" customWidth="1"/>
    <col min="9" max="9" width="22.26953125" style="105" customWidth="1"/>
    <col min="10" max="10" width="42" style="47" customWidth="1"/>
    <col min="11" max="11" width="45.1796875" style="47" customWidth="1"/>
    <col min="12" max="12" width="23.54296875" style="49" customWidth="1"/>
    <col min="13" max="16384" width="9.1796875" style="47"/>
  </cols>
  <sheetData>
    <row r="1" spans="1:12" s="78" customFormat="1" ht="33.75" customHeight="1" thickBot="1" x14ac:dyDescent="0.4">
      <c r="A1" s="153"/>
      <c r="B1" s="107"/>
      <c r="C1" s="107"/>
      <c r="D1" s="107"/>
      <c r="E1" s="107"/>
      <c r="F1" s="107"/>
      <c r="G1" s="107"/>
      <c r="H1" s="107"/>
      <c r="I1" s="103"/>
      <c r="J1" s="103"/>
      <c r="K1" s="107"/>
      <c r="L1" s="107"/>
    </row>
    <row r="2" spans="1:12" s="152" customFormat="1" ht="21" customHeight="1" thickBot="1" x14ac:dyDescent="0.4">
      <c r="A2" s="258" t="s">
        <v>109</v>
      </c>
      <c r="B2" s="259"/>
      <c r="C2" s="259"/>
      <c r="D2" s="259"/>
      <c r="E2" s="259"/>
      <c r="F2" s="259"/>
      <c r="G2" s="259"/>
      <c r="H2" s="150"/>
      <c r="I2" s="151"/>
      <c r="J2" s="151"/>
      <c r="K2" s="151"/>
      <c r="L2" s="150"/>
    </row>
    <row r="3" spans="1:12" ht="103.5" customHeight="1" thickBot="1" x14ac:dyDescent="0.4">
      <c r="A3" s="51" t="s">
        <v>522</v>
      </c>
      <c r="B3" s="14" t="s">
        <v>599</v>
      </c>
      <c r="C3" s="14" t="s">
        <v>554</v>
      </c>
      <c r="D3" s="19" t="s">
        <v>610</v>
      </c>
      <c r="E3" s="27" t="s">
        <v>540</v>
      </c>
      <c r="F3" s="19" t="s">
        <v>597</v>
      </c>
      <c r="G3" s="12" t="s">
        <v>541</v>
      </c>
      <c r="H3" s="19" t="s">
        <v>595</v>
      </c>
      <c r="I3" s="104" t="s">
        <v>574</v>
      </c>
      <c r="J3" s="104" t="s">
        <v>593</v>
      </c>
      <c r="K3" s="19" t="s">
        <v>555</v>
      </c>
      <c r="L3" s="12" t="s">
        <v>627</v>
      </c>
    </row>
    <row r="4" spans="1:12" s="202" customFormat="1" ht="58" x14ac:dyDescent="0.35">
      <c r="A4" s="199" t="s">
        <v>754</v>
      </c>
      <c r="B4" s="199" t="s">
        <v>112</v>
      </c>
      <c r="C4" s="199" t="s">
        <v>755</v>
      </c>
      <c r="D4" s="199" t="s">
        <v>755</v>
      </c>
      <c r="E4" s="200"/>
      <c r="F4" s="199" t="s">
        <v>779</v>
      </c>
      <c r="G4" s="199"/>
      <c r="H4" s="199"/>
      <c r="I4" s="201"/>
      <c r="L4" s="199"/>
    </row>
    <row r="5" spans="1:12" s="202" customFormat="1" ht="29" x14ac:dyDescent="0.35">
      <c r="A5" s="49" t="s">
        <v>700</v>
      </c>
      <c r="B5" s="49" t="s">
        <v>108</v>
      </c>
      <c r="C5" s="199" t="s">
        <v>261</v>
      </c>
      <c r="D5" s="199" t="s">
        <v>735</v>
      </c>
      <c r="E5" s="200"/>
      <c r="F5" s="199" t="s">
        <v>779</v>
      </c>
      <c r="G5" s="199"/>
      <c r="H5" s="199"/>
      <c r="I5" s="201"/>
      <c r="L5" s="199"/>
    </row>
    <row r="6" spans="1:12" s="202" customFormat="1" ht="52" x14ac:dyDescent="0.35">
      <c r="A6" s="49" t="s">
        <v>701</v>
      </c>
      <c r="B6" s="199" t="s">
        <v>108</v>
      </c>
      <c r="C6" s="199" t="s">
        <v>696</v>
      </c>
      <c r="D6" s="199" t="s">
        <v>680</v>
      </c>
      <c r="E6" s="200" t="s">
        <v>768</v>
      </c>
      <c r="F6" s="199" t="s">
        <v>779</v>
      </c>
      <c r="G6" s="199"/>
      <c r="H6" s="199"/>
      <c r="I6" s="201"/>
      <c r="L6" s="199"/>
    </row>
    <row r="7" spans="1:12" s="202" customFormat="1" ht="58" x14ac:dyDescent="0.35">
      <c r="A7" s="49" t="s">
        <v>703</v>
      </c>
      <c r="B7" s="199" t="s">
        <v>108</v>
      </c>
      <c r="C7" s="199" t="s">
        <v>694</v>
      </c>
      <c r="D7" s="212" t="s">
        <v>778</v>
      </c>
      <c r="E7" s="200"/>
      <c r="F7" s="199" t="s">
        <v>779</v>
      </c>
      <c r="G7" s="199"/>
      <c r="H7" s="199"/>
      <c r="I7" s="201"/>
      <c r="L7" s="199"/>
    </row>
    <row r="8" spans="1:12" ht="58" x14ac:dyDescent="0.35">
      <c r="A8" s="49" t="s">
        <v>704</v>
      </c>
      <c r="B8" s="49" t="s">
        <v>108</v>
      </c>
      <c r="C8" s="49" t="s">
        <v>693</v>
      </c>
      <c r="D8" s="49" t="s">
        <v>741</v>
      </c>
      <c r="F8" s="199" t="s">
        <v>779</v>
      </c>
    </row>
    <row r="9" spans="1:12" ht="29" x14ac:dyDescent="0.35">
      <c r="A9" s="49" t="s">
        <v>705</v>
      </c>
      <c r="B9" s="204" t="s">
        <v>108</v>
      </c>
      <c r="C9" s="204" t="s">
        <v>689</v>
      </c>
      <c r="D9" s="204" t="s">
        <v>747</v>
      </c>
      <c r="E9" s="211" t="s">
        <v>746</v>
      </c>
      <c r="F9" s="199" t="s">
        <v>779</v>
      </c>
    </row>
    <row r="10" spans="1:12" s="202" customFormat="1" ht="29" x14ac:dyDescent="0.35">
      <c r="A10" s="49" t="s">
        <v>706</v>
      </c>
      <c r="B10" s="199" t="s">
        <v>108</v>
      </c>
      <c r="C10" s="199" t="s">
        <v>743</v>
      </c>
      <c r="D10" s="199" t="s">
        <v>742</v>
      </c>
      <c r="E10" s="200"/>
      <c r="F10" s="199" t="s">
        <v>779</v>
      </c>
      <c r="G10" s="199"/>
      <c r="H10" s="199"/>
      <c r="I10" s="201"/>
      <c r="L10" s="199"/>
    </row>
    <row r="11" spans="1:12" ht="43.5" x14ac:dyDescent="0.35">
      <c r="A11" s="49" t="s">
        <v>707</v>
      </c>
      <c r="B11" s="49" t="s">
        <v>108</v>
      </c>
      <c r="C11" s="49" t="s">
        <v>692</v>
      </c>
      <c r="D11" s="49" t="s">
        <v>684</v>
      </c>
      <c r="F11" s="199" t="s">
        <v>779</v>
      </c>
    </row>
    <row r="12" spans="1:12" ht="29" x14ac:dyDescent="0.35">
      <c r="A12" s="49" t="s">
        <v>708</v>
      </c>
      <c r="B12" s="49" t="s">
        <v>108</v>
      </c>
      <c r="C12" s="49" t="s">
        <v>691</v>
      </c>
      <c r="D12" s="49" t="s">
        <v>686</v>
      </c>
      <c r="E12" s="50" t="s">
        <v>744</v>
      </c>
      <c r="F12" s="199" t="s">
        <v>779</v>
      </c>
    </row>
    <row r="13" spans="1:12" ht="29" x14ac:dyDescent="0.35">
      <c r="A13" s="49" t="s">
        <v>709</v>
      </c>
      <c r="B13" s="49" t="s">
        <v>108</v>
      </c>
      <c r="C13" s="49" t="s">
        <v>690</v>
      </c>
      <c r="D13" s="210" t="s">
        <v>683</v>
      </c>
      <c r="E13" s="50" t="s">
        <v>745</v>
      </c>
      <c r="F13" s="199" t="s">
        <v>779</v>
      </c>
    </row>
    <row r="14" spans="1:12" ht="29" x14ac:dyDescent="0.35">
      <c r="A14" s="49" t="s">
        <v>710</v>
      </c>
      <c r="B14" s="204" t="s">
        <v>108</v>
      </c>
      <c r="C14" s="204" t="s">
        <v>687</v>
      </c>
      <c r="D14" s="204" t="s">
        <v>765</v>
      </c>
      <c r="E14" s="50" t="s">
        <v>748</v>
      </c>
      <c r="F14" s="199" t="s">
        <v>779</v>
      </c>
    </row>
    <row r="15" spans="1:12" s="202" customFormat="1" ht="43.5" x14ac:dyDescent="0.35">
      <c r="A15" s="49" t="s">
        <v>711</v>
      </c>
      <c r="B15" s="199" t="s">
        <v>108</v>
      </c>
      <c r="C15" s="199" t="s">
        <v>688</v>
      </c>
      <c r="D15" s="199" t="s">
        <v>766</v>
      </c>
      <c r="E15" s="200"/>
      <c r="F15" s="199" t="s">
        <v>779</v>
      </c>
      <c r="G15" s="199"/>
      <c r="H15" s="199"/>
      <c r="I15" s="201"/>
      <c r="L15" s="199"/>
    </row>
    <row r="16" spans="1:12" ht="43.5" x14ac:dyDescent="0.35">
      <c r="A16" s="49" t="s">
        <v>712</v>
      </c>
      <c r="B16" s="49" t="s">
        <v>108</v>
      </c>
      <c r="C16" s="49" t="s">
        <v>685</v>
      </c>
      <c r="D16" s="205" t="s">
        <v>750</v>
      </c>
      <c r="E16" s="50" t="s">
        <v>749</v>
      </c>
      <c r="F16" s="199" t="s">
        <v>779</v>
      </c>
    </row>
    <row r="17" spans="1:6" ht="29" x14ac:dyDescent="0.35">
      <c r="A17" s="49" t="s">
        <v>769</v>
      </c>
      <c r="B17" s="49" t="s">
        <v>108</v>
      </c>
      <c r="C17" s="49" t="s">
        <v>770</v>
      </c>
      <c r="D17" s="205" t="s">
        <v>771</v>
      </c>
      <c r="E17" s="50" t="s">
        <v>772</v>
      </c>
      <c r="F17" s="199" t="s">
        <v>779</v>
      </c>
    </row>
    <row r="18" spans="1:6" ht="29" x14ac:dyDescent="0.35">
      <c r="A18" s="49" t="s">
        <v>713</v>
      </c>
      <c r="B18" s="49" t="s">
        <v>108</v>
      </c>
      <c r="C18" s="49" t="s">
        <v>773</v>
      </c>
      <c r="D18" s="205" t="s">
        <v>774</v>
      </c>
      <c r="E18" s="50" t="s">
        <v>772</v>
      </c>
      <c r="F18" s="199" t="s">
        <v>779</v>
      </c>
    </row>
    <row r="19" spans="1:6" ht="29" x14ac:dyDescent="0.35">
      <c r="A19" s="49" t="s">
        <v>714</v>
      </c>
      <c r="B19" s="49" t="s">
        <v>108</v>
      </c>
      <c r="C19" s="49" t="s">
        <v>775</v>
      </c>
      <c r="D19" s="205" t="s">
        <v>776</v>
      </c>
      <c r="E19" s="50" t="s">
        <v>777</v>
      </c>
      <c r="F19" s="199" t="s">
        <v>779</v>
      </c>
    </row>
  </sheetData>
  <sheetProtection formatCells="0" insertRows="0" deleteRows="0" autoFilter="0"/>
  <autoFilter ref="A3:L3"/>
  <customSheetViews>
    <customSheetView guid="{0FDF722F-6BE5-40CC-8643-96FA7475187B}">
      <pane ySplit="1" topLeftCell="A2" activePane="bottomLeft" state="frozen"/>
      <selection pane="bottomLeft" activeCell="A4" sqref="A4:T4"/>
      <pageMargins left="0" right="0" top="0" bottom="0" header="0" footer="0"/>
      <printOptions gridLines="1"/>
      <pageSetup fitToWidth="0" fitToHeight="0" orientation="landscape" r:id="rId1"/>
    </customSheetView>
  </customSheetViews>
  <mergeCells count="1">
    <mergeCell ref="A2:G2"/>
  </mergeCells>
  <dataValidations count="1">
    <dataValidation type="list" allowBlank="1" showInputMessage="1" showErrorMessage="1" sqref="B4:B1048576">
      <formula1>issueType</formula1>
    </dataValidation>
  </dataValidations>
  <printOptions gridLines="1"/>
  <pageMargins left="0" right="0" top="0" bottom="0" header="0" footer="0"/>
  <pageSetup fitToWidth="0" fitToHeight="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48" r:id="rId5" name="Button 24">
              <controlPr defaultSize="0" print="0" autoFill="0" autoPict="0" macro="[0]!Home">
                <anchor moveWithCells="1" sizeWithCells="1">
                  <from>
                    <xdr:col>0</xdr:col>
                    <xdr:colOff>0</xdr:colOff>
                    <xdr:row>0</xdr:row>
                    <xdr:rowOff>0</xdr:rowOff>
                  </from>
                  <to>
                    <xdr:col>2</xdr:col>
                    <xdr:colOff>565150</xdr:colOff>
                    <xdr:row>0</xdr:row>
                    <xdr:rowOff>0</xdr:rowOff>
                  </to>
                </anchor>
              </controlPr>
            </control>
          </mc:Choice>
        </mc:AlternateContent>
        <mc:AlternateContent xmlns:mc="http://schemas.openxmlformats.org/markup-compatibility/2006">
          <mc:Choice Requires="x14">
            <control shapeId="1049" r:id="rId6" name="Button 25">
              <controlPr defaultSize="0" print="0" autoFill="0" autoPict="0" macro="[0]!RemoveHLBR">
                <anchor moveWithCells="1" sizeWithCells="1">
                  <from>
                    <xdr:col>2</xdr:col>
                    <xdr:colOff>590550</xdr:colOff>
                    <xdr:row>0</xdr:row>
                    <xdr:rowOff>0</xdr:rowOff>
                  </from>
                  <to>
                    <xdr:col>2</xdr:col>
                    <xdr:colOff>2012950</xdr:colOff>
                    <xdr:row>0</xdr:row>
                    <xdr:rowOff>0</xdr:rowOff>
                  </to>
                </anchor>
              </controlPr>
            </control>
          </mc:Choice>
        </mc:AlternateContent>
        <mc:AlternateContent xmlns:mc="http://schemas.openxmlformats.org/markup-compatibility/2006">
          <mc:Choice Requires="x14">
            <control shapeId="1051" r:id="rId7" name="Button 27">
              <controlPr defaultSize="0" print="0" autoFill="0" autoPict="0" macro="[0]!RemoveHLBR">
                <anchor moveWithCells="1" sizeWithCells="1">
                  <from>
                    <xdr:col>2</xdr:col>
                    <xdr:colOff>2038350</xdr:colOff>
                    <xdr:row>0</xdr:row>
                    <xdr:rowOff>0</xdr:rowOff>
                  </from>
                  <to>
                    <xdr:col>4</xdr:col>
                    <xdr:colOff>0</xdr:colOff>
                    <xdr:row>0</xdr:row>
                    <xdr:rowOff>0</xdr:rowOff>
                  </to>
                </anchor>
              </controlPr>
            </control>
          </mc:Choice>
        </mc:AlternateContent>
        <mc:AlternateContent xmlns:mc="http://schemas.openxmlformats.org/markup-compatibility/2006">
          <mc:Choice Requires="x14">
            <control shapeId="1052" r:id="rId8" name="Button 28">
              <controlPr defaultSize="0" print="0" autoFill="0" autoPict="0" macro="[0]!RemoveHLBR">
                <anchor moveWithCells="1" sizeWithCells="1">
                  <from>
                    <xdr:col>4</xdr:col>
                    <xdr:colOff>0</xdr:colOff>
                    <xdr:row>0</xdr:row>
                    <xdr:rowOff>0</xdr:rowOff>
                  </from>
                  <to>
                    <xdr:col>6</xdr:col>
                    <xdr:colOff>0</xdr:colOff>
                    <xdr:row>0</xdr:row>
                    <xdr:rowOff>0</xdr:rowOff>
                  </to>
                </anchor>
              </controlPr>
            </control>
          </mc:Choice>
        </mc:AlternateContent>
        <mc:AlternateContent xmlns:mc="http://schemas.openxmlformats.org/markup-compatibility/2006">
          <mc:Choice Requires="x14">
            <control shapeId="1068" r:id="rId9" name="Button 44">
              <controlPr defaultSize="0" print="0" autoFill="0" autoPict="0" macro="[0]!AddGP">
                <anchor moveWithCells="1" sizeWithCells="1">
                  <from>
                    <xdr:col>2</xdr:col>
                    <xdr:colOff>762000</xdr:colOff>
                    <xdr:row>0</xdr:row>
                    <xdr:rowOff>0</xdr:rowOff>
                  </from>
                  <to>
                    <xdr:col>2</xdr:col>
                    <xdr:colOff>1962150</xdr:colOff>
                    <xdr:row>0</xdr:row>
                    <xdr:rowOff>0</xdr:rowOff>
                  </to>
                </anchor>
              </controlPr>
            </control>
          </mc:Choice>
        </mc:AlternateContent>
        <mc:AlternateContent xmlns:mc="http://schemas.openxmlformats.org/markup-compatibility/2006">
          <mc:Choice Requires="x14">
            <control shapeId="1053" r:id="rId10" name="Button 29">
              <controlPr defaultSize="0" print="0" autoFill="0" autoPict="0" macro="[0]!AddRQ">
                <anchor moveWithCells="1" sizeWithCells="1">
                  <from>
                    <xdr:col>0</xdr:col>
                    <xdr:colOff>184150</xdr:colOff>
                    <xdr:row>0</xdr:row>
                    <xdr:rowOff>0</xdr:rowOff>
                  </from>
                  <to>
                    <xdr:col>2</xdr:col>
                    <xdr:colOff>704850</xdr:colOff>
                    <xdr:row>0</xdr:row>
                    <xdr:rowOff>0</xdr:rowOff>
                  </to>
                </anchor>
              </controlPr>
            </control>
          </mc:Choice>
        </mc:AlternateContent>
        <mc:AlternateContent xmlns:mc="http://schemas.openxmlformats.org/markup-compatibility/2006">
          <mc:Choice Requires="x14">
            <control shapeId="1073" r:id="rId11" name="Button 49">
              <controlPr defaultSize="0" print="0" autoFill="0" autoPict="0" macro="[0]!AddAsp">
                <anchor moveWithCells="1" sizeWithCells="1">
                  <from>
                    <xdr:col>2</xdr:col>
                    <xdr:colOff>2038350</xdr:colOff>
                    <xdr:row>0</xdr:row>
                    <xdr:rowOff>0</xdr:rowOff>
                  </from>
                  <to>
                    <xdr:col>3</xdr:col>
                    <xdr:colOff>0</xdr:colOff>
                    <xdr:row>0</xdr:row>
                    <xdr:rowOff>0</xdr:rowOff>
                  </to>
                </anchor>
              </controlPr>
            </control>
          </mc:Choice>
        </mc:AlternateContent>
        <mc:AlternateContent xmlns:mc="http://schemas.openxmlformats.org/markup-compatibility/2006">
          <mc:Choice Requires="x14">
            <control shapeId="1083" r:id="rId12" name="Button 59">
              <controlPr defaultSize="0" print="0" autoFill="0" autoPict="0" macro="[0]!AddDep">
                <anchor moveWithCells="1" sizeWithCells="1">
                  <from>
                    <xdr:col>0</xdr:col>
                    <xdr:colOff>190500</xdr:colOff>
                    <xdr:row>0</xdr:row>
                    <xdr:rowOff>0</xdr:rowOff>
                  </from>
                  <to>
                    <xdr:col>2</xdr:col>
                    <xdr:colOff>717550</xdr:colOff>
                    <xdr:row>0</xdr:row>
                    <xdr:rowOff>0</xdr:rowOff>
                  </to>
                </anchor>
              </controlPr>
            </control>
          </mc:Choice>
        </mc:AlternateContent>
        <mc:AlternateContent xmlns:mc="http://schemas.openxmlformats.org/markup-compatibility/2006">
          <mc:Choice Requires="x14">
            <control shapeId="1084" r:id="rId13" name="Button 60">
              <controlPr defaultSize="0" print="0" autoFill="0" autoPict="0" macro="[0]!AddCons">
                <anchor moveWithCells="1" sizeWithCells="1">
                  <from>
                    <xdr:col>0</xdr:col>
                    <xdr:colOff>190500</xdr:colOff>
                    <xdr:row>0</xdr:row>
                    <xdr:rowOff>0</xdr:rowOff>
                  </from>
                  <to>
                    <xdr:col>2</xdr:col>
                    <xdr:colOff>717550</xdr:colOff>
                    <xdr:row>0</xdr:row>
                    <xdr:rowOff>0</xdr:rowOff>
                  </to>
                </anchor>
              </controlPr>
            </control>
          </mc:Choice>
        </mc:AlternateContent>
        <mc:AlternateContent xmlns:mc="http://schemas.openxmlformats.org/markup-compatibility/2006">
          <mc:Choice Requires="x14">
            <control shapeId="1085" r:id="rId14" name="Button 61">
              <controlPr defaultSize="0" print="0" autoFill="0" autoPict="0" macro="[0]!Module2.ConvertGP">
                <anchor moveWithCells="1" sizeWithCells="1">
                  <from>
                    <xdr:col>2</xdr:col>
                    <xdr:colOff>774700</xdr:colOff>
                    <xdr:row>0</xdr:row>
                    <xdr:rowOff>0</xdr:rowOff>
                  </from>
                  <to>
                    <xdr:col>2</xdr:col>
                    <xdr:colOff>1974850</xdr:colOff>
                    <xdr:row>0</xdr:row>
                    <xdr:rowOff>0</xdr:rowOff>
                  </to>
                </anchor>
              </controlPr>
            </control>
          </mc:Choice>
        </mc:AlternateContent>
        <mc:AlternateContent xmlns:mc="http://schemas.openxmlformats.org/markup-compatibility/2006">
          <mc:Choice Requires="x14">
            <control shapeId="1087" r:id="rId15" name="Button 63">
              <controlPr defaultSize="0" print="0" autoFill="0" autoPict="0" macro="[0]!ConvertDep">
                <anchor moveWithCells="1" sizeWithCells="1">
                  <from>
                    <xdr:col>2</xdr:col>
                    <xdr:colOff>495300</xdr:colOff>
                    <xdr:row>0</xdr:row>
                    <xdr:rowOff>0</xdr:rowOff>
                  </from>
                  <to>
                    <xdr:col>2</xdr:col>
                    <xdr:colOff>1676400</xdr:colOff>
                    <xdr:row>0</xdr:row>
                    <xdr:rowOff>0</xdr:rowOff>
                  </to>
                </anchor>
              </controlPr>
            </control>
          </mc:Choice>
        </mc:AlternateContent>
        <mc:AlternateContent xmlns:mc="http://schemas.openxmlformats.org/markup-compatibility/2006">
          <mc:Choice Requires="x14">
            <control shapeId="1088" r:id="rId16" name="Button 64">
              <controlPr defaultSize="0" print="0" autoFill="0" autoPict="0" macro="[0]!ConvertConst">
                <anchor moveWithCells="1" sizeWithCells="1">
                  <from>
                    <xdr:col>2</xdr:col>
                    <xdr:colOff>495300</xdr:colOff>
                    <xdr:row>0</xdr:row>
                    <xdr:rowOff>0</xdr:rowOff>
                  </from>
                  <to>
                    <xdr:col>2</xdr:col>
                    <xdr:colOff>1676400</xdr:colOff>
                    <xdr:row>0</xdr:row>
                    <xdr:rowOff>0</xdr:rowOff>
                  </to>
                </anchor>
              </controlPr>
            </control>
          </mc:Choice>
        </mc:AlternateContent>
        <mc:AlternateContent xmlns:mc="http://schemas.openxmlformats.org/markup-compatibility/2006">
          <mc:Choice Requires="x14">
            <control shapeId="1091" r:id="rId17" name="Button 67">
              <controlPr defaultSize="0" print="0" autoFill="0" autoPict="0" macro="[0]!RemoveDetailRQ">
                <anchor moveWithCells="1" sizeWithCells="1">
                  <from>
                    <xdr:col>8</xdr:col>
                    <xdr:colOff>0</xdr:colOff>
                    <xdr:row>0</xdr:row>
                    <xdr:rowOff>0</xdr:rowOff>
                  </from>
                  <to>
                    <xdr:col>8</xdr:col>
                    <xdr:colOff>0</xdr:colOff>
                    <xdr:row>0</xdr:row>
                    <xdr:rowOff>0</xdr:rowOff>
                  </to>
                </anchor>
              </controlPr>
            </control>
          </mc:Choice>
        </mc:AlternateContent>
        <mc:AlternateContent xmlns:mc="http://schemas.openxmlformats.org/markup-compatibility/2006">
          <mc:Choice Requires="x14">
            <control shapeId="1107" r:id="rId18" name="Button 83">
              <controlPr defaultSize="0" print="0" autoFill="0" autoPict="0" macro="[0]!RemoveHLBR">
                <anchor moveWithCells="1" sizeWithCells="1">
                  <from>
                    <xdr:col>0</xdr:col>
                    <xdr:colOff>184150</xdr:colOff>
                    <xdr:row>0</xdr:row>
                    <xdr:rowOff>0</xdr:rowOff>
                  </from>
                  <to>
                    <xdr:col>2</xdr:col>
                    <xdr:colOff>704850</xdr:colOff>
                    <xdr:row>0</xdr:row>
                    <xdr:rowOff>0</xdr:rowOff>
                  </to>
                </anchor>
              </controlPr>
            </control>
          </mc:Choice>
        </mc:AlternateContent>
        <mc:AlternateContent xmlns:mc="http://schemas.openxmlformats.org/markup-compatibility/2006">
          <mc:Choice Requires="x14">
            <control shapeId="1120" r:id="rId19" name="Button 96">
              <controlPr defaultSize="0" print="0" autoFill="0" autoPict="0" macro="[0]!AddDetailFormat">
                <anchor moveWithCells="1" sizeWithCells="1">
                  <from>
                    <xdr:col>8</xdr:col>
                    <xdr:colOff>0</xdr:colOff>
                    <xdr:row>0</xdr:row>
                    <xdr:rowOff>0</xdr:rowOff>
                  </from>
                  <to>
                    <xdr:col>8</xdr:col>
                    <xdr:colOff>0</xdr:colOff>
                    <xdr:row>0</xdr:row>
                    <xdr:rowOff>0</xdr:rowOff>
                  </to>
                </anchor>
              </controlPr>
            </control>
          </mc:Choice>
        </mc:AlternateContent>
        <mc:AlternateContent xmlns:mc="http://schemas.openxmlformats.org/markup-compatibility/2006">
          <mc:Choice Requires="x14">
            <control shapeId="1122" r:id="rId20" name="Button 98">
              <controlPr defaultSize="0" print="0" autoFill="0" autoPict="0">
                <anchor moveWithCells="1" sizeWithCells="1">
                  <from>
                    <xdr:col>8</xdr:col>
                    <xdr:colOff>0</xdr:colOff>
                    <xdr:row>0</xdr:row>
                    <xdr:rowOff>0</xdr:rowOff>
                  </from>
                  <to>
                    <xdr:col>8</xdr:col>
                    <xdr:colOff>0</xdr:colOff>
                    <xdr:row>0</xdr:row>
                    <xdr:rowOff>0</xdr:rowOff>
                  </to>
                </anchor>
              </controlPr>
            </control>
          </mc:Choice>
        </mc:AlternateContent>
        <mc:AlternateContent xmlns:mc="http://schemas.openxmlformats.org/markup-compatibility/2006">
          <mc:Choice Requires="x14">
            <control shapeId="1126" r:id="rId21" name="Button 102">
              <controlPr defaultSize="0" print="0" autoFill="0" autoPict="0" macro="[0]!AddGP">
                <anchor moveWithCells="1" sizeWithCells="1">
                  <from>
                    <xdr:col>0</xdr:col>
                    <xdr:colOff>190500</xdr:colOff>
                    <xdr:row>0</xdr:row>
                    <xdr:rowOff>0</xdr:rowOff>
                  </from>
                  <to>
                    <xdr:col>2</xdr:col>
                    <xdr:colOff>431800</xdr:colOff>
                    <xdr:row>0</xdr:row>
                    <xdr:rowOff>0</xdr:rowOff>
                  </to>
                </anchor>
              </controlPr>
            </control>
          </mc:Choice>
        </mc:AlternateContent>
        <mc:AlternateContent xmlns:mc="http://schemas.openxmlformats.org/markup-compatibility/2006">
          <mc:Choice Requires="x14">
            <control shapeId="1127" r:id="rId22" name="Button 103">
              <controlPr defaultSize="0" print="0" autoFill="0" autoPict="0" macro="[0]!AddRQ">
                <anchor moveWithCells="1" sizeWithCells="1">
                  <from>
                    <xdr:col>0</xdr:col>
                    <xdr:colOff>184150</xdr:colOff>
                    <xdr:row>0</xdr:row>
                    <xdr:rowOff>0</xdr:rowOff>
                  </from>
                  <to>
                    <xdr:col>2</xdr:col>
                    <xdr:colOff>419100</xdr:colOff>
                    <xdr:row>0</xdr:row>
                    <xdr:rowOff>0</xdr:rowOff>
                  </to>
                </anchor>
              </controlPr>
            </control>
          </mc:Choice>
        </mc:AlternateContent>
        <mc:AlternateContent xmlns:mc="http://schemas.openxmlformats.org/markup-compatibility/2006">
          <mc:Choice Requires="x14">
            <control shapeId="1132" r:id="rId23" name="Button 108">
              <controlPr defaultSize="0" print="0" autoFill="0" autoPict="0" macro="[0]!Module2.ConvertGP">
                <anchor moveWithCells="1" sizeWithCells="1">
                  <from>
                    <xdr:col>2</xdr:col>
                    <xdr:colOff>488950</xdr:colOff>
                    <xdr:row>0</xdr:row>
                    <xdr:rowOff>0</xdr:rowOff>
                  </from>
                  <to>
                    <xdr:col>2</xdr:col>
                    <xdr:colOff>1390650</xdr:colOff>
                    <xdr:row>0</xdr:row>
                    <xdr:rowOff>0</xdr:rowOff>
                  </to>
                </anchor>
              </controlPr>
            </control>
          </mc:Choice>
        </mc:AlternateContent>
        <mc:AlternateContent xmlns:mc="http://schemas.openxmlformats.org/markup-compatibility/2006">
          <mc:Choice Requires="x14">
            <control shapeId="1133" r:id="rId24" name="Button 109">
              <controlPr defaultSize="0" print="0" autoFill="0" autoPict="0" macro="[0]!ConvertAsp">
                <anchor moveWithCells="1" sizeWithCells="1">
                  <from>
                    <xdr:col>2</xdr:col>
                    <xdr:colOff>495300</xdr:colOff>
                    <xdr:row>0</xdr:row>
                    <xdr:rowOff>0</xdr:rowOff>
                  </from>
                  <to>
                    <xdr:col>2</xdr:col>
                    <xdr:colOff>1403350</xdr:colOff>
                    <xdr:row>0</xdr:row>
                    <xdr:rowOff>0</xdr:rowOff>
                  </to>
                </anchor>
              </controlPr>
            </control>
          </mc:Choice>
        </mc:AlternateContent>
        <mc:AlternateContent xmlns:mc="http://schemas.openxmlformats.org/markup-compatibility/2006">
          <mc:Choice Requires="x14">
            <control shapeId="1134" r:id="rId25" name="Button 110">
              <controlPr defaultSize="0" print="0" autoFill="0" autoPict="0" macro="[0]!ConvertDep">
                <anchor moveWithCells="1" sizeWithCells="1">
                  <from>
                    <xdr:col>2</xdr:col>
                    <xdr:colOff>495300</xdr:colOff>
                    <xdr:row>0</xdr:row>
                    <xdr:rowOff>0</xdr:rowOff>
                  </from>
                  <to>
                    <xdr:col>2</xdr:col>
                    <xdr:colOff>1403350</xdr:colOff>
                    <xdr:row>0</xdr:row>
                    <xdr:rowOff>0</xdr:rowOff>
                  </to>
                </anchor>
              </controlPr>
            </control>
          </mc:Choice>
        </mc:AlternateContent>
        <mc:AlternateContent xmlns:mc="http://schemas.openxmlformats.org/markup-compatibility/2006">
          <mc:Choice Requires="x14">
            <control shapeId="1135" r:id="rId26" name="Button 111">
              <controlPr defaultSize="0" print="0" autoFill="0" autoPict="0" macro="[0]!ConvertConst">
                <anchor moveWithCells="1" sizeWithCells="1">
                  <from>
                    <xdr:col>2</xdr:col>
                    <xdr:colOff>495300</xdr:colOff>
                    <xdr:row>0</xdr:row>
                    <xdr:rowOff>0</xdr:rowOff>
                  </from>
                  <to>
                    <xdr:col>2</xdr:col>
                    <xdr:colOff>1403350</xdr:colOff>
                    <xdr:row>0</xdr:row>
                    <xdr:rowOff>0</xdr:rowOff>
                  </to>
                </anchor>
              </controlPr>
            </control>
          </mc:Choice>
        </mc:AlternateContent>
        <mc:AlternateContent xmlns:mc="http://schemas.openxmlformats.org/markup-compatibility/2006">
          <mc:Choice Requires="x14">
            <control shapeId="1136" r:id="rId27" name="Button 112">
              <controlPr defaultSize="0" print="0" autoFill="0" autoPict="0" macro="[0]!RemoveDetailRQ">
                <anchor moveWithCells="1" sizeWithCells="1">
                  <from>
                    <xdr:col>2</xdr:col>
                    <xdr:colOff>1498600</xdr:colOff>
                    <xdr:row>0</xdr:row>
                    <xdr:rowOff>0</xdr:rowOff>
                  </from>
                  <to>
                    <xdr:col>2</xdr:col>
                    <xdr:colOff>2336800</xdr:colOff>
                    <xdr:row>0</xdr:row>
                    <xdr:rowOff>0</xdr:rowOff>
                  </to>
                </anchor>
              </controlPr>
            </control>
          </mc:Choice>
        </mc:AlternateContent>
        <mc:AlternateContent xmlns:mc="http://schemas.openxmlformats.org/markup-compatibility/2006">
          <mc:Choice Requires="x14">
            <control shapeId="1137" r:id="rId28" name="Button 113">
              <controlPr defaultSize="0" print="0" autoFill="0" autoPict="0" macro="[0]!AddActionItem">
                <anchor moveWithCells="1" sizeWithCells="1">
                  <from>
                    <xdr:col>3</xdr:col>
                    <xdr:colOff>514350</xdr:colOff>
                    <xdr:row>0</xdr:row>
                    <xdr:rowOff>0</xdr:rowOff>
                  </from>
                  <to>
                    <xdr:col>4</xdr:col>
                    <xdr:colOff>514350</xdr:colOff>
                    <xdr:row>0</xdr:row>
                    <xdr:rowOff>0</xdr:rowOff>
                  </to>
                </anchor>
              </controlPr>
            </control>
          </mc:Choice>
        </mc:AlternateContent>
        <mc:AlternateContent xmlns:mc="http://schemas.openxmlformats.org/markup-compatibility/2006">
          <mc:Choice Requires="x14">
            <control shapeId="1138" r:id="rId29" name="Button 114">
              <controlPr defaultSize="0" print="0" autoFill="0" autoPict="0" macro="[0]!AddTerm">
                <anchor moveWithCells="1" sizeWithCells="1">
                  <from>
                    <xdr:col>2</xdr:col>
                    <xdr:colOff>2438400</xdr:colOff>
                    <xdr:row>0</xdr:row>
                    <xdr:rowOff>0</xdr:rowOff>
                  </from>
                  <to>
                    <xdr:col>3</xdr:col>
                    <xdr:colOff>0</xdr:colOff>
                    <xdr:row>0</xdr:row>
                    <xdr:rowOff>0</xdr:rowOff>
                  </to>
                </anchor>
              </controlPr>
            </control>
          </mc:Choice>
        </mc:AlternateContent>
        <mc:AlternateContent xmlns:mc="http://schemas.openxmlformats.org/markup-compatibility/2006">
          <mc:Choice Requires="x14">
            <control shapeId="1139" r:id="rId30" name="Button 115">
              <controlPr defaultSize="0" print="0" autoFill="0" autoPict="0" macro="[0]!AddNote">
                <anchor moveWithCells="1" sizeWithCells="1">
                  <from>
                    <xdr:col>3</xdr:col>
                    <xdr:colOff>514350</xdr:colOff>
                    <xdr:row>0</xdr:row>
                    <xdr:rowOff>0</xdr:rowOff>
                  </from>
                  <to>
                    <xdr:col>4</xdr:col>
                    <xdr:colOff>514350</xdr:colOff>
                    <xdr:row>0</xdr:row>
                    <xdr:rowOff>0</xdr:rowOff>
                  </to>
                </anchor>
              </controlPr>
            </control>
          </mc:Choice>
        </mc:AlternateContent>
        <mc:AlternateContent xmlns:mc="http://schemas.openxmlformats.org/markup-compatibility/2006">
          <mc:Choice Requires="x14">
            <control shapeId="1140" r:id="rId31" name="Button 116">
              <controlPr defaultSize="0" print="0" autoFill="0" autoPict="0" macro="[0]!GotoRemoved">
                <anchor moveWithCells="1" sizeWithCells="1">
                  <from>
                    <xdr:col>3</xdr:col>
                    <xdr:colOff>0</xdr:colOff>
                    <xdr:row>0</xdr:row>
                    <xdr:rowOff>0</xdr:rowOff>
                  </from>
                  <to>
                    <xdr:col>3</xdr:col>
                    <xdr:colOff>438150</xdr:colOff>
                    <xdr:row>0</xdr:row>
                    <xdr:rowOff>0</xdr:rowOff>
                  </to>
                </anchor>
              </controlPr>
            </control>
          </mc:Choice>
        </mc:AlternateContent>
        <mc:AlternateContent xmlns:mc="http://schemas.openxmlformats.org/markup-compatibility/2006">
          <mc:Choice Requires="x14">
            <control shapeId="1141" r:id="rId32" name="Button 117">
              <controlPr defaultSize="0" print="0" autoFill="0" autoPict="0" macro="[0]!GotoFlows">
                <anchor moveWithCells="1" sizeWithCells="1">
                  <from>
                    <xdr:col>3</xdr:col>
                    <xdr:colOff>0</xdr:colOff>
                    <xdr:row>0</xdr:row>
                    <xdr:rowOff>0</xdr:rowOff>
                  </from>
                  <to>
                    <xdr:col>3</xdr:col>
                    <xdr:colOff>438150</xdr:colOff>
                    <xdr:row>0</xdr:row>
                    <xdr:rowOff>0</xdr:rowOff>
                  </to>
                </anchor>
              </controlPr>
            </control>
          </mc:Choice>
        </mc:AlternateContent>
        <mc:AlternateContent xmlns:mc="http://schemas.openxmlformats.org/markup-compatibility/2006">
          <mc:Choice Requires="x14">
            <control shapeId="1142" r:id="rId33" name="Button 118">
              <controlPr defaultSize="0" print="0" autoFill="0" autoPict="0" macro="[0]!ReturntoGPAssumpDepConst">
                <anchor moveWithCells="1" sizeWithCells="1">
                  <from>
                    <xdr:col>2</xdr:col>
                    <xdr:colOff>2438400</xdr:colOff>
                    <xdr:row>0</xdr:row>
                    <xdr:rowOff>0</xdr:rowOff>
                  </from>
                  <to>
                    <xdr:col>3</xdr:col>
                    <xdr:colOff>0</xdr:colOff>
                    <xdr:row>0</xdr:row>
                    <xdr:rowOff>0</xdr:rowOff>
                  </to>
                </anchor>
              </controlPr>
            </control>
          </mc:Choice>
        </mc:AlternateContent>
        <mc:AlternateContent xmlns:mc="http://schemas.openxmlformats.org/markup-compatibility/2006">
          <mc:Choice Requires="x14">
            <control shapeId="1143" r:id="rId34" name="Button 119">
              <controlPr defaultSize="0" print="0" autoFill="0" autoPict="0" macro="[0]!RemoveHLBR">
                <anchor moveWithCells="1" sizeWithCells="1">
                  <from>
                    <xdr:col>2</xdr:col>
                    <xdr:colOff>488950</xdr:colOff>
                    <xdr:row>0</xdr:row>
                    <xdr:rowOff>0</xdr:rowOff>
                  </from>
                  <to>
                    <xdr:col>2</xdr:col>
                    <xdr:colOff>1390650</xdr:colOff>
                    <xdr:row>0</xdr:row>
                    <xdr:rowOff>0</xdr:rowOff>
                  </to>
                </anchor>
              </controlPr>
            </control>
          </mc:Choice>
        </mc:AlternateContent>
        <mc:AlternateContent xmlns:mc="http://schemas.openxmlformats.org/markup-compatibility/2006">
          <mc:Choice Requires="x14">
            <control shapeId="1144" r:id="rId35" name="Button 120">
              <controlPr defaultSize="0" print="0" autoFill="0" autoPict="0" macro="[0]!AddDetailFormat">
                <anchor moveWithCells="1" sizeWithCells="1">
                  <from>
                    <xdr:col>2</xdr:col>
                    <xdr:colOff>1479550</xdr:colOff>
                    <xdr:row>0</xdr:row>
                    <xdr:rowOff>0</xdr:rowOff>
                  </from>
                  <to>
                    <xdr:col>2</xdr:col>
                    <xdr:colOff>2317750</xdr:colOff>
                    <xdr:row>0</xdr:row>
                    <xdr:rowOff>0</xdr:rowOff>
                  </to>
                </anchor>
              </controlPr>
            </control>
          </mc:Choice>
        </mc:AlternateContent>
        <mc:AlternateContent xmlns:mc="http://schemas.openxmlformats.org/markup-compatibility/2006">
          <mc:Choice Requires="x14">
            <control shapeId="1145" r:id="rId36" name="Button 121">
              <controlPr defaultSize="0" print="0" autoFill="0" autoPict="0">
                <anchor moveWithCells="1" sizeWithCells="1">
                  <from>
                    <xdr:col>2</xdr:col>
                    <xdr:colOff>1498600</xdr:colOff>
                    <xdr:row>0</xdr:row>
                    <xdr:rowOff>0</xdr:rowOff>
                  </from>
                  <to>
                    <xdr:col>2</xdr:col>
                    <xdr:colOff>2336800</xdr:colOff>
                    <xdr:row>0</xdr:row>
                    <xdr:rowOff>0</xdr:rowOff>
                  </to>
                </anchor>
              </controlPr>
            </control>
          </mc:Choice>
        </mc:AlternateContent>
        <mc:AlternateContent xmlns:mc="http://schemas.openxmlformats.org/markup-compatibility/2006">
          <mc:Choice Requires="x14">
            <control shapeId="1173" r:id="rId37" name="Button 149">
              <controlPr defaultSize="0" print="0" autoFill="0" autoPict="0" macro="[0]!AddAsp">
                <anchor moveWithCells="1" sizeWithCells="1">
                  <from>
                    <xdr:col>2</xdr:col>
                    <xdr:colOff>2032000</xdr:colOff>
                    <xdr:row>0</xdr:row>
                    <xdr:rowOff>0</xdr:rowOff>
                  </from>
                  <to>
                    <xdr:col>3</xdr:col>
                    <xdr:colOff>0</xdr:colOff>
                    <xdr:row>0</xdr:row>
                    <xdr:rowOff>0</xdr:rowOff>
                  </to>
                </anchor>
              </controlPr>
            </control>
          </mc:Choice>
        </mc:AlternateContent>
        <mc:AlternateContent xmlns:mc="http://schemas.openxmlformats.org/markup-compatibility/2006">
          <mc:Choice Requires="x14">
            <control shapeId="1174" r:id="rId38" name="Button 150">
              <controlPr defaultSize="0" print="0" autoFill="0" autoPict="0" macro="[0]!ConvertAsp">
                <anchor moveWithCells="1" sizeWithCells="1">
                  <from>
                    <xdr:col>2</xdr:col>
                    <xdr:colOff>2057400</xdr:colOff>
                    <xdr:row>0</xdr:row>
                    <xdr:rowOff>0</xdr:rowOff>
                  </from>
                  <to>
                    <xdr:col>3</xdr:col>
                    <xdr:colOff>0</xdr:colOff>
                    <xdr:row>0</xdr:row>
                    <xdr:rowOff>0</xdr:rowOff>
                  </to>
                </anchor>
              </controlPr>
            </control>
          </mc:Choice>
        </mc:AlternateContent>
        <mc:AlternateContent xmlns:mc="http://schemas.openxmlformats.org/markup-compatibility/2006">
          <mc:Choice Requires="x14">
            <control shapeId="1175" r:id="rId39" name="Button 151">
              <controlPr defaultSize="0" print="0" autoFill="0" autoPict="0" macro="[0]!AddGPFromEPICSWorksheet">
                <anchor>
                  <from>
                    <xdr:col>1</xdr:col>
                    <xdr:colOff>469900</xdr:colOff>
                    <xdr:row>0</xdr:row>
                    <xdr:rowOff>12700</xdr:rowOff>
                  </from>
                  <to>
                    <xdr:col>2</xdr:col>
                    <xdr:colOff>469900</xdr:colOff>
                    <xdr:row>0</xdr:row>
                    <xdr:rowOff>209550</xdr:rowOff>
                  </to>
                </anchor>
              </controlPr>
            </control>
          </mc:Choice>
        </mc:AlternateContent>
        <mc:AlternateContent xmlns:mc="http://schemas.openxmlformats.org/markup-compatibility/2006">
          <mc:Choice Requires="x14">
            <control shapeId="1176" r:id="rId40" name="Button 152">
              <controlPr defaultSize="0" print="0" autoFill="0" autoPict="0" macro="[0]!AddRequirement">
                <anchor>
                  <from>
                    <xdr:col>0</xdr:col>
                    <xdr:colOff>0</xdr:colOff>
                    <xdr:row>0</xdr:row>
                    <xdr:rowOff>12700</xdr:rowOff>
                  </from>
                  <to>
                    <xdr:col>1</xdr:col>
                    <xdr:colOff>457200</xdr:colOff>
                    <xdr:row>0</xdr:row>
                    <xdr:rowOff>209550</xdr:rowOff>
                  </to>
                </anchor>
              </controlPr>
            </control>
          </mc:Choice>
        </mc:AlternateContent>
        <mc:AlternateContent xmlns:mc="http://schemas.openxmlformats.org/markup-compatibility/2006">
          <mc:Choice Requires="x14">
            <control shapeId="1179" r:id="rId41" name="Button 155">
              <controlPr defaultSize="0" print="0" autoFill="0" autoPict="0" macro="[0]!AddConstraintFromEPICSWorksheet">
                <anchor>
                  <from>
                    <xdr:col>3</xdr:col>
                    <xdr:colOff>1403350</xdr:colOff>
                    <xdr:row>0</xdr:row>
                    <xdr:rowOff>12700</xdr:rowOff>
                  </from>
                  <to>
                    <xdr:col>3</xdr:col>
                    <xdr:colOff>2584450</xdr:colOff>
                    <xdr:row>0</xdr:row>
                    <xdr:rowOff>209550</xdr:rowOff>
                  </to>
                </anchor>
              </controlPr>
            </control>
          </mc:Choice>
        </mc:AlternateContent>
        <mc:AlternateContent xmlns:mc="http://schemas.openxmlformats.org/markup-compatibility/2006">
          <mc:Choice Requires="x14">
            <control shapeId="1180" r:id="rId42" name="Button 156">
              <controlPr defaultSize="0" print="0" autoFill="0" autoPict="0" macro="[0]!ConvertToGP">
                <anchor>
                  <from>
                    <xdr:col>1</xdr:col>
                    <xdr:colOff>469900</xdr:colOff>
                    <xdr:row>0</xdr:row>
                    <xdr:rowOff>222250</xdr:rowOff>
                  </from>
                  <to>
                    <xdr:col>2</xdr:col>
                    <xdr:colOff>469900</xdr:colOff>
                    <xdr:row>0</xdr:row>
                    <xdr:rowOff>419100</xdr:rowOff>
                  </to>
                </anchor>
              </controlPr>
            </control>
          </mc:Choice>
        </mc:AlternateContent>
        <mc:AlternateContent xmlns:mc="http://schemas.openxmlformats.org/markup-compatibility/2006">
          <mc:Choice Requires="x14">
            <control shapeId="1181" r:id="rId43" name="Button 157">
              <controlPr defaultSize="0" print="0" autoFill="0" autoPict="0" macro="[0]!ConvertToDependency">
                <anchor>
                  <from>
                    <xdr:col>3</xdr:col>
                    <xdr:colOff>190500</xdr:colOff>
                    <xdr:row>0</xdr:row>
                    <xdr:rowOff>222250</xdr:rowOff>
                  </from>
                  <to>
                    <xdr:col>3</xdr:col>
                    <xdr:colOff>1384300</xdr:colOff>
                    <xdr:row>0</xdr:row>
                    <xdr:rowOff>419100</xdr:rowOff>
                  </to>
                </anchor>
              </controlPr>
            </control>
          </mc:Choice>
        </mc:AlternateContent>
        <mc:AlternateContent xmlns:mc="http://schemas.openxmlformats.org/markup-compatibility/2006">
          <mc:Choice Requires="x14">
            <control shapeId="1182" r:id="rId44" name="Button 158">
              <controlPr defaultSize="0" print="0" autoFill="0" autoPict="0" macro="[0]!ConvertToConstraint">
                <anchor>
                  <from>
                    <xdr:col>3</xdr:col>
                    <xdr:colOff>1403350</xdr:colOff>
                    <xdr:row>0</xdr:row>
                    <xdr:rowOff>222250</xdr:rowOff>
                  </from>
                  <to>
                    <xdr:col>3</xdr:col>
                    <xdr:colOff>2584450</xdr:colOff>
                    <xdr:row>0</xdr:row>
                    <xdr:rowOff>419100</xdr:rowOff>
                  </to>
                </anchor>
              </controlPr>
            </control>
          </mc:Choice>
        </mc:AlternateContent>
        <mc:AlternateContent xmlns:mc="http://schemas.openxmlformats.org/markup-compatibility/2006">
          <mc:Choice Requires="x14">
            <control shapeId="1184" r:id="rId45" name="Button 160">
              <controlPr defaultSize="0" print="0" autoFill="0" autoPict="0" macro="[0]!RemoveRequirement">
                <anchor>
                  <from>
                    <xdr:col>0</xdr:col>
                    <xdr:colOff>0</xdr:colOff>
                    <xdr:row>0</xdr:row>
                    <xdr:rowOff>222250</xdr:rowOff>
                  </from>
                  <to>
                    <xdr:col>1</xdr:col>
                    <xdr:colOff>457200</xdr:colOff>
                    <xdr:row>0</xdr:row>
                    <xdr:rowOff>419100</xdr:rowOff>
                  </to>
                </anchor>
              </controlPr>
            </control>
          </mc:Choice>
        </mc:AlternateContent>
        <mc:AlternateContent xmlns:mc="http://schemas.openxmlformats.org/markup-compatibility/2006">
          <mc:Choice Requires="x14">
            <control shapeId="1187" r:id="rId46" name="Button 163">
              <controlPr defaultSize="0" print="0" autoFill="0" autoPict="0" macro="[0]!AddAssumptionFromEPICSWorksheet">
                <anchor>
                  <from>
                    <xdr:col>2</xdr:col>
                    <xdr:colOff>476250</xdr:colOff>
                    <xdr:row>0</xdr:row>
                    <xdr:rowOff>12700</xdr:rowOff>
                  </from>
                  <to>
                    <xdr:col>3</xdr:col>
                    <xdr:colOff>190500</xdr:colOff>
                    <xdr:row>0</xdr:row>
                    <xdr:rowOff>209550</xdr:rowOff>
                  </to>
                </anchor>
              </controlPr>
            </control>
          </mc:Choice>
        </mc:AlternateContent>
        <mc:AlternateContent xmlns:mc="http://schemas.openxmlformats.org/markup-compatibility/2006">
          <mc:Choice Requires="x14">
            <control shapeId="1188" r:id="rId47" name="Button 164">
              <controlPr defaultSize="0" print="0" autoFill="0" autoPict="0" macro="[0]!ConvertToAssumption">
                <anchor>
                  <from>
                    <xdr:col>2</xdr:col>
                    <xdr:colOff>476250</xdr:colOff>
                    <xdr:row>0</xdr:row>
                    <xdr:rowOff>222250</xdr:rowOff>
                  </from>
                  <to>
                    <xdr:col>3</xdr:col>
                    <xdr:colOff>190500</xdr:colOff>
                    <xdr:row>0</xdr:row>
                    <xdr:rowOff>419100</xdr:rowOff>
                  </to>
                </anchor>
              </controlPr>
            </control>
          </mc:Choice>
        </mc:AlternateContent>
        <mc:AlternateContent xmlns:mc="http://schemas.openxmlformats.org/markup-compatibility/2006">
          <mc:Choice Requires="x14">
            <control shapeId="1189" r:id="rId48" name="Button 165">
              <controlPr defaultSize="0" print="0" autoFill="0" autoPict="0" macro="[0]!AddDependencyFromEPICSWorksheet">
                <anchor>
                  <from>
                    <xdr:col>3</xdr:col>
                    <xdr:colOff>190500</xdr:colOff>
                    <xdr:row>0</xdr:row>
                    <xdr:rowOff>12700</xdr:rowOff>
                  </from>
                  <to>
                    <xdr:col>3</xdr:col>
                    <xdr:colOff>1384300</xdr:colOff>
                    <xdr:row>0</xdr:row>
                    <xdr:rowOff>209550</xdr:rowOff>
                  </to>
                </anchor>
              </controlPr>
            </control>
          </mc:Choice>
        </mc:AlternateContent>
        <mc:AlternateContent xmlns:mc="http://schemas.openxmlformats.org/markup-compatibility/2006">
          <mc:Choice Requires="x14">
            <control shapeId="1190" r:id="rId49" name="Button 166">
              <controlPr defaultSize="0" print="0" autoFill="0" autoPict="0" macro="[0]!AddActionItem">
                <anchor>
                  <from>
                    <xdr:col>4</xdr:col>
                    <xdr:colOff>19050</xdr:colOff>
                    <xdr:row>0</xdr:row>
                    <xdr:rowOff>222250</xdr:rowOff>
                  </from>
                  <to>
                    <xdr:col>4</xdr:col>
                    <xdr:colOff>1212850</xdr:colOff>
                    <xdr:row>0</xdr:row>
                    <xdr:rowOff>419100</xdr:rowOff>
                  </to>
                </anchor>
              </controlPr>
            </control>
          </mc:Choice>
        </mc:AlternateContent>
        <mc:AlternateContent xmlns:mc="http://schemas.openxmlformats.org/markup-compatibility/2006">
          <mc:Choice Requires="x14">
            <control shapeId="1198" r:id="rId50" name="Button 174">
              <controlPr defaultSize="0" print="0" autoFill="0" autoPict="0" macro="[0]!MoveUpEPICSRow">
                <anchor>
                  <from>
                    <xdr:col>4</xdr:col>
                    <xdr:colOff>1219200</xdr:colOff>
                    <xdr:row>0</xdr:row>
                    <xdr:rowOff>12700</xdr:rowOff>
                  </from>
                  <to>
                    <xdr:col>4</xdr:col>
                    <xdr:colOff>2400300</xdr:colOff>
                    <xdr:row>0</xdr:row>
                    <xdr:rowOff>209550</xdr:rowOff>
                  </to>
                </anchor>
              </controlPr>
            </control>
          </mc:Choice>
        </mc:AlternateContent>
        <mc:AlternateContent xmlns:mc="http://schemas.openxmlformats.org/markup-compatibility/2006">
          <mc:Choice Requires="x14">
            <control shapeId="1199" r:id="rId51" name="Button 175">
              <controlPr defaultSize="0" print="0" autoFill="0" autoPict="0" macro="[0]!MoveDownEPICSRow">
                <anchor>
                  <from>
                    <xdr:col>4</xdr:col>
                    <xdr:colOff>1219200</xdr:colOff>
                    <xdr:row>0</xdr:row>
                    <xdr:rowOff>222250</xdr:rowOff>
                  </from>
                  <to>
                    <xdr:col>4</xdr:col>
                    <xdr:colOff>2400300</xdr:colOff>
                    <xdr:row>0</xdr:row>
                    <xdr:rowOff>419100</xdr:rowOff>
                  </to>
                </anchor>
              </controlPr>
            </control>
          </mc:Choice>
        </mc:AlternateContent>
        <mc:AlternateContent xmlns:mc="http://schemas.openxmlformats.org/markup-compatibility/2006">
          <mc:Choice Requires="x14">
            <control shapeId="1206" r:id="rId52" name="Button 182">
              <controlPr defaultSize="0" print="0" autoFill="0" autoPict="0" macro="[0]!AddDefinition" altText="Add Term/Definition">
                <anchor>
                  <from>
                    <xdr:col>4</xdr:col>
                    <xdr:colOff>19050</xdr:colOff>
                    <xdr:row>0</xdr:row>
                    <xdr:rowOff>12700</xdr:rowOff>
                  </from>
                  <to>
                    <xdr:col>4</xdr:col>
                    <xdr:colOff>1212850</xdr:colOff>
                    <xdr:row>0</xdr:row>
                    <xdr:rowOff>209550</xdr:rowOff>
                  </to>
                </anchor>
              </controlPr>
            </control>
          </mc:Choice>
        </mc:AlternateContent>
        <mc:AlternateContent xmlns:mc="http://schemas.openxmlformats.org/markup-compatibility/2006">
          <mc:Choice Requires="x14">
            <control shapeId="1215" r:id="rId53" name="Button 191">
              <controlPr defaultSize="0" print="0" autoFill="0" autoPict="0" macro="[0]!CreateStandardBRD">
                <anchor>
                  <from>
                    <xdr:col>4</xdr:col>
                    <xdr:colOff>2413000</xdr:colOff>
                    <xdr:row>0</xdr:row>
                    <xdr:rowOff>222250</xdr:rowOff>
                  </from>
                  <to>
                    <xdr:col>5</xdr:col>
                    <xdr:colOff>571500</xdr:colOff>
                    <xdr:row>0</xdr:row>
                    <xdr:rowOff>419100</xdr:rowOff>
                  </to>
                </anchor>
              </controlPr>
            </control>
          </mc:Choice>
        </mc:AlternateContent>
        <mc:AlternateContent xmlns:mc="http://schemas.openxmlformats.org/markup-compatibility/2006">
          <mc:Choice Requires="x14">
            <control shapeId="1219" r:id="rId54" name="Button 195">
              <controlPr defaultSize="0" print="0" autoFill="0" autoPict="0" macro="[0]!AddNewBlankSection">
                <anchor>
                  <from>
                    <xdr:col>4</xdr:col>
                    <xdr:colOff>2413000</xdr:colOff>
                    <xdr:row>0</xdr:row>
                    <xdr:rowOff>12700</xdr:rowOff>
                  </from>
                  <to>
                    <xdr:col>5</xdr:col>
                    <xdr:colOff>571500</xdr:colOff>
                    <xdr:row>0</xdr:row>
                    <xdr:rowOff>209550</xdr:rowOff>
                  </to>
                </anchor>
              </controlPr>
            </control>
          </mc:Choice>
        </mc:AlternateContent>
        <mc:AlternateContent xmlns:mc="http://schemas.openxmlformats.org/markup-compatibility/2006">
          <mc:Choice Requires="x14">
            <control shapeId="1224" r:id="rId55" name="Button 200">
              <controlPr defaultSize="0" print="0" autoFill="0" autoPict="0" macro="[0]!CopyRequirementsToMappingWorksheet" altText="Load All Requirements to Mapping Worksheet">
                <anchor>
                  <from>
                    <xdr:col>5</xdr:col>
                    <xdr:colOff>571500</xdr:colOff>
                    <xdr:row>0</xdr:row>
                    <xdr:rowOff>12700</xdr:rowOff>
                  </from>
                  <to>
                    <xdr:col>6</xdr:col>
                    <xdr:colOff>361950</xdr:colOff>
                    <xdr:row>0</xdr:row>
                    <xdr:rowOff>419100</xdr:rowOff>
                  </to>
                </anchor>
              </controlPr>
            </control>
          </mc:Choice>
        </mc:AlternateContent>
        <mc:AlternateContent xmlns:mc="http://schemas.openxmlformats.org/markup-compatibility/2006">
          <mc:Choice Requires="x14">
            <control shapeId="1254" r:id="rId56" name="Button 230">
              <controlPr defaultSize="0" print="0" autoFill="0" autoPict="0" macro="[0]!AddRiskFromEPICSWorksheet">
                <anchor>
                  <from>
                    <xdr:col>3</xdr:col>
                    <xdr:colOff>2590800</xdr:colOff>
                    <xdr:row>0</xdr:row>
                    <xdr:rowOff>12700</xdr:rowOff>
                  </from>
                  <to>
                    <xdr:col>4</xdr:col>
                    <xdr:colOff>19050</xdr:colOff>
                    <xdr:row>0</xdr:row>
                    <xdr:rowOff>209550</xdr:rowOff>
                  </to>
                </anchor>
              </controlPr>
            </control>
          </mc:Choice>
        </mc:AlternateContent>
        <mc:AlternateContent xmlns:mc="http://schemas.openxmlformats.org/markup-compatibility/2006">
          <mc:Choice Requires="x14">
            <control shapeId="1255" r:id="rId57" name="Button 231">
              <controlPr defaultSize="0" print="0" autoFill="0" autoPict="0" macro="[0]!ConvertToRisk">
                <anchor>
                  <from>
                    <xdr:col>3</xdr:col>
                    <xdr:colOff>2590800</xdr:colOff>
                    <xdr:row>0</xdr:row>
                    <xdr:rowOff>222250</xdr:rowOff>
                  </from>
                  <to>
                    <xdr:col>4</xdr:col>
                    <xdr:colOff>19050</xdr:colOff>
                    <xdr:row>0</xdr:row>
                    <xdr:rowOff>419100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ctionItemsSheet">
    <tabColor theme="4" tint="0.59999389629810485"/>
  </sheetPr>
  <dimension ref="A1:G1"/>
  <sheetViews>
    <sheetView zoomScaleNormal="100" workbookViewId="0">
      <pane ySplit="1" topLeftCell="A2" activePane="bottomLeft" state="frozenSplit"/>
      <selection pane="bottomLeft" activeCell="B14" sqref="B14"/>
    </sheetView>
  </sheetViews>
  <sheetFormatPr defaultColWidth="9.1796875" defaultRowHeight="14.5" x14ac:dyDescent="0.35"/>
  <cols>
    <col min="1" max="1" width="10.54296875" style="24" customWidth="1"/>
    <col min="2" max="2" width="58" style="24" customWidth="1"/>
    <col min="3" max="3" width="11.7265625" style="72" customWidth="1"/>
    <col min="4" max="4" width="26" style="24" customWidth="1"/>
    <col min="5" max="5" width="14.26953125" style="73" customWidth="1"/>
    <col min="6" max="6" width="38.1796875" style="24" customWidth="1"/>
    <col min="7" max="7" width="16.26953125" style="73" customWidth="1"/>
    <col min="8" max="16384" width="9.1796875" style="71"/>
  </cols>
  <sheetData>
    <row r="1" spans="1:7" ht="22.5" customHeight="1" thickBot="1" x14ac:dyDescent="0.4">
      <c r="A1" s="14" t="s">
        <v>539</v>
      </c>
      <c r="B1" s="14" t="s">
        <v>2</v>
      </c>
      <c r="C1" s="14" t="s">
        <v>6</v>
      </c>
      <c r="D1" s="14" t="s">
        <v>26</v>
      </c>
      <c r="E1" s="14" t="s">
        <v>27</v>
      </c>
      <c r="F1" s="14" t="s">
        <v>28</v>
      </c>
      <c r="G1" s="14" t="s">
        <v>81</v>
      </c>
    </row>
  </sheetData>
  <autoFilter ref="A1:G1"/>
  <customSheetViews>
    <customSheetView guid="{0FDF722F-6BE5-40CC-8643-96FA7475187B}" scale="115">
      <selection activeCell="G4" sqref="G4"/>
      <pageMargins left="0.7" right="0.7" top="0.75" bottom="0.75" header="0.3" footer="0.3"/>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hangeLogSheet">
    <tabColor theme="4" tint="0.59999389629810485"/>
  </sheetPr>
  <dimension ref="A1:O10"/>
  <sheetViews>
    <sheetView zoomScale="89" zoomScaleNormal="89" workbookViewId="0">
      <pane ySplit="1" topLeftCell="A2" activePane="bottomLeft" state="frozen"/>
      <selection activeCell="K16" sqref="K16"/>
      <selection pane="bottomLeft" activeCell="A2" sqref="A2"/>
    </sheetView>
  </sheetViews>
  <sheetFormatPr defaultColWidth="9.1796875" defaultRowHeight="14.5" x14ac:dyDescent="0.35"/>
  <cols>
    <col min="1" max="1" width="12" style="48" customWidth="1"/>
    <col min="2" max="2" width="18.453125" style="48" customWidth="1"/>
    <col min="3" max="3" width="20.453125" style="48" customWidth="1"/>
    <col min="4" max="4" width="52.54296875" style="48" customWidth="1"/>
    <col min="5" max="5" width="45.7265625" style="48" customWidth="1"/>
    <col min="6" max="6" width="18.54296875" style="48" customWidth="1"/>
    <col min="7" max="7" width="24.1796875" style="48" customWidth="1"/>
    <col min="8" max="8" width="17.26953125" style="48" customWidth="1"/>
    <col min="9" max="9" width="20.26953125" style="106" customWidth="1"/>
    <col min="10" max="10" width="29.81640625" style="106" customWidth="1"/>
    <col min="11" max="11" width="44.26953125" style="48" customWidth="1"/>
    <col min="12" max="12" width="24.26953125" style="48" customWidth="1"/>
    <col min="13" max="13" width="36.54296875" style="48" customWidth="1"/>
    <col min="14" max="14" width="12.26953125" style="48" customWidth="1"/>
    <col min="15" max="15" width="13.1796875" style="48" customWidth="1"/>
    <col min="16" max="16384" width="9.1796875" style="48"/>
  </cols>
  <sheetData>
    <row r="1" spans="1:15" s="46" customFormat="1" ht="71.25" customHeight="1" thickBot="1" x14ac:dyDescent="0.4">
      <c r="A1" s="14" t="s">
        <v>539</v>
      </c>
      <c r="B1" s="14" t="s">
        <v>639</v>
      </c>
      <c r="C1" s="14" t="s">
        <v>549</v>
      </c>
      <c r="D1" s="19" t="s">
        <v>598</v>
      </c>
      <c r="E1" s="27" t="s">
        <v>542</v>
      </c>
      <c r="F1" s="19" t="s">
        <v>548</v>
      </c>
      <c r="G1" s="12" t="s">
        <v>547</v>
      </c>
      <c r="H1" s="19" t="s">
        <v>545</v>
      </c>
      <c r="I1" s="104" t="s">
        <v>575</v>
      </c>
      <c r="J1" s="104" t="s">
        <v>593</v>
      </c>
      <c r="K1" s="19" t="s">
        <v>556</v>
      </c>
      <c r="L1" s="12" t="s">
        <v>546</v>
      </c>
      <c r="M1" s="19" t="s">
        <v>576</v>
      </c>
      <c r="N1" s="19" t="s">
        <v>543</v>
      </c>
      <c r="O1" s="19" t="s">
        <v>544</v>
      </c>
    </row>
    <row r="2" spans="1:15" ht="29" x14ac:dyDescent="0.35">
      <c r="A2" s="48" t="s">
        <v>702</v>
      </c>
      <c r="B2" s="48" t="s">
        <v>108</v>
      </c>
      <c r="C2" s="48" t="s">
        <v>698</v>
      </c>
      <c r="D2" s="48" t="s">
        <v>739</v>
      </c>
      <c r="M2" s="48" t="s">
        <v>740</v>
      </c>
      <c r="N2" s="106">
        <v>43707</v>
      </c>
      <c r="O2" s="48" t="s">
        <v>666</v>
      </c>
    </row>
    <row r="3" spans="1:15" ht="29" x14ac:dyDescent="0.35">
      <c r="A3" s="48" t="s">
        <v>713</v>
      </c>
      <c r="B3" s="48" t="s">
        <v>108</v>
      </c>
      <c r="C3" s="48" t="s">
        <v>716</v>
      </c>
      <c r="D3" s="48" t="s">
        <v>715</v>
      </c>
      <c r="M3" s="48" t="s">
        <v>751</v>
      </c>
      <c r="N3" s="106">
        <v>43707</v>
      </c>
      <c r="O3" s="48" t="s">
        <v>666</v>
      </c>
    </row>
    <row r="4" spans="1:15" ht="29" x14ac:dyDescent="0.35">
      <c r="A4" s="48" t="s">
        <v>714</v>
      </c>
      <c r="B4" s="48" t="s">
        <v>108</v>
      </c>
      <c r="C4" s="48" t="s">
        <v>717</v>
      </c>
      <c r="D4" s="48" t="s">
        <v>718</v>
      </c>
      <c r="M4" s="48" t="s">
        <v>751</v>
      </c>
      <c r="N4" s="106">
        <v>43707</v>
      </c>
      <c r="O4" s="48" t="s">
        <v>666</v>
      </c>
    </row>
    <row r="5" spans="1:15" ht="29" x14ac:dyDescent="0.35">
      <c r="A5" s="48" t="s">
        <v>704</v>
      </c>
      <c r="B5" s="48" t="s">
        <v>108</v>
      </c>
      <c r="C5" s="48" t="s">
        <v>357</v>
      </c>
      <c r="D5" s="48" t="s">
        <v>682</v>
      </c>
      <c r="M5" s="48" t="s">
        <v>751</v>
      </c>
      <c r="N5" s="106">
        <v>43707</v>
      </c>
      <c r="O5" s="48" t="s">
        <v>666</v>
      </c>
    </row>
    <row r="6" spans="1:15" x14ac:dyDescent="0.35">
      <c r="A6" s="48" t="s">
        <v>703</v>
      </c>
      <c r="B6" s="48" t="s">
        <v>108</v>
      </c>
      <c r="C6" s="48" t="s">
        <v>697</v>
      </c>
      <c r="D6" s="48" t="s">
        <v>679</v>
      </c>
      <c r="M6" s="48" t="s">
        <v>751</v>
      </c>
      <c r="N6" s="106">
        <v>43707</v>
      </c>
      <c r="O6" s="48" t="s">
        <v>666</v>
      </c>
    </row>
    <row r="7" spans="1:15" ht="29" x14ac:dyDescent="0.35">
      <c r="A7" s="48" t="s">
        <v>700</v>
      </c>
      <c r="B7" s="48" t="s">
        <v>108</v>
      </c>
      <c r="C7" s="48" t="s">
        <v>752</v>
      </c>
      <c r="D7" s="48" t="s">
        <v>678</v>
      </c>
      <c r="M7" s="48" t="s">
        <v>751</v>
      </c>
      <c r="N7" s="106">
        <v>43707</v>
      </c>
      <c r="O7" s="48" t="s">
        <v>666</v>
      </c>
    </row>
    <row r="8" spans="1:15" x14ac:dyDescent="0.35">
      <c r="A8" s="48" t="s">
        <v>20</v>
      </c>
      <c r="C8" s="48" t="s">
        <v>738</v>
      </c>
      <c r="D8" s="48" t="s">
        <v>753</v>
      </c>
      <c r="M8" s="48" t="s">
        <v>751</v>
      </c>
      <c r="N8" s="106">
        <v>43707</v>
      </c>
      <c r="O8" s="48" t="s">
        <v>666</v>
      </c>
    </row>
    <row r="9" spans="1:15" ht="29" x14ac:dyDescent="0.35">
      <c r="A9" s="48" t="s">
        <v>701</v>
      </c>
      <c r="B9" s="48" t="s">
        <v>108</v>
      </c>
      <c r="C9" s="48" t="s">
        <v>699</v>
      </c>
      <c r="D9" s="48" t="s">
        <v>737</v>
      </c>
      <c r="M9" s="48" t="s">
        <v>751</v>
      </c>
      <c r="N9" s="106">
        <v>43707</v>
      </c>
      <c r="O9" s="48" t="s">
        <v>666</v>
      </c>
    </row>
    <row r="10" spans="1:15" ht="29" x14ac:dyDescent="0.35">
      <c r="A10" s="48" t="s">
        <v>702</v>
      </c>
      <c r="B10" s="48" t="s">
        <v>108</v>
      </c>
      <c r="C10" s="48" t="s">
        <v>695</v>
      </c>
      <c r="D10" s="48" t="s">
        <v>681</v>
      </c>
      <c r="M10" s="48" t="s">
        <v>767</v>
      </c>
      <c r="N10" s="106">
        <v>43739</v>
      </c>
      <c r="O10" s="48" t="s">
        <v>666</v>
      </c>
    </row>
  </sheetData>
  <autoFilter ref="A1:O1"/>
  <customSheetViews>
    <customSheetView guid="{0FDF722F-6BE5-40CC-8643-96FA7475187B}">
      <selection activeCell="B12" sqref="B12"/>
      <pageMargins left="0.7" right="0.7" top="0.75" bottom="0.75" header="0.3" footer="0.3"/>
      <pageSetup orientation="portrait" r:id="rId1"/>
    </customSheetView>
  </customSheetViews>
  <pageMargins left="0.7" right="0.7" top="0.75" bottom="0.75" header="0.3" footer="0.3"/>
  <pageSetup orientation="portrait"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S_InstructionsSheet">
    <tabColor theme="9" tint="0.39997558519241921"/>
  </sheetPr>
  <dimension ref="A1:E12"/>
  <sheetViews>
    <sheetView workbookViewId="0">
      <selection activeCell="E5" sqref="E5"/>
    </sheetView>
  </sheetViews>
  <sheetFormatPr defaultColWidth="9.1796875" defaultRowHeight="14.5" x14ac:dyDescent="0.35"/>
  <cols>
    <col min="1" max="1" width="6.54296875" style="6" customWidth="1"/>
    <col min="2" max="2" width="24.81640625" style="6" customWidth="1"/>
    <col min="3" max="3" width="17.26953125" style="6" customWidth="1"/>
    <col min="4" max="4" width="22.54296875" style="6" customWidth="1"/>
    <col min="5" max="5" width="40.453125" style="6" customWidth="1"/>
    <col min="6" max="16384" width="9.1796875" style="6"/>
  </cols>
  <sheetData>
    <row r="1" spans="1:5" ht="15" thickBot="1" x14ac:dyDescent="0.4"/>
    <row r="2" spans="1:5" ht="18.5" x14ac:dyDescent="0.35">
      <c r="A2" s="5"/>
      <c r="B2" s="272" t="s">
        <v>33</v>
      </c>
      <c r="C2" s="273"/>
      <c r="D2" s="273"/>
      <c r="E2" s="274"/>
    </row>
    <row r="3" spans="1:5" x14ac:dyDescent="0.35">
      <c r="A3" s="5"/>
      <c r="B3" s="267" t="s">
        <v>34</v>
      </c>
      <c r="C3" s="268"/>
      <c r="D3" s="268"/>
      <c r="E3" s="269"/>
    </row>
    <row r="4" spans="1:5" ht="15.5" x14ac:dyDescent="0.35">
      <c r="A4" s="5"/>
      <c r="B4" s="7"/>
      <c r="C4" s="263" t="s">
        <v>35</v>
      </c>
      <c r="D4" s="263"/>
      <c r="E4" s="8" t="s">
        <v>36</v>
      </c>
    </row>
    <row r="5" spans="1:5" ht="29" x14ac:dyDescent="0.35">
      <c r="A5" s="5"/>
      <c r="B5" s="7"/>
      <c r="C5" s="263" t="s">
        <v>37</v>
      </c>
      <c r="D5" s="263"/>
      <c r="E5" s="16" t="s">
        <v>38</v>
      </c>
    </row>
    <row r="6" spans="1:5" ht="15.5" x14ac:dyDescent="0.35">
      <c r="A6" s="5"/>
      <c r="B6" s="264" t="s">
        <v>39</v>
      </c>
      <c r="C6" s="265"/>
      <c r="D6" s="265"/>
      <c r="E6" s="266"/>
    </row>
    <row r="7" spans="1:5" x14ac:dyDescent="0.35">
      <c r="A7" s="5"/>
      <c r="B7" s="267" t="s">
        <v>40</v>
      </c>
      <c r="C7" s="268"/>
      <c r="D7" s="268"/>
      <c r="E7" s="269"/>
    </row>
    <row r="8" spans="1:5" ht="66.75" customHeight="1" x14ac:dyDescent="0.35">
      <c r="A8" s="5"/>
      <c r="B8" s="9"/>
      <c r="C8" s="270" t="s">
        <v>41</v>
      </c>
      <c r="D8" s="270"/>
      <c r="E8" s="271"/>
    </row>
    <row r="9" spans="1:5" ht="180.75" customHeight="1" x14ac:dyDescent="0.35">
      <c r="A9" s="5"/>
      <c r="B9" s="7"/>
      <c r="C9" s="268" t="s">
        <v>79</v>
      </c>
      <c r="D9" s="268"/>
      <c r="E9" s="269"/>
    </row>
    <row r="10" spans="1:5" ht="105" customHeight="1" x14ac:dyDescent="0.35">
      <c r="A10" s="5"/>
      <c r="B10" s="9"/>
      <c r="C10" s="270" t="s">
        <v>80</v>
      </c>
      <c r="D10" s="270"/>
      <c r="E10" s="271"/>
    </row>
    <row r="11" spans="1:5" ht="51.75" customHeight="1" x14ac:dyDescent="0.35">
      <c r="A11" s="5"/>
      <c r="B11" s="267" t="s">
        <v>42</v>
      </c>
      <c r="C11" s="268"/>
      <c r="D11" s="268"/>
      <c r="E11" s="269"/>
    </row>
    <row r="12" spans="1:5" ht="71.25" customHeight="1" thickBot="1" x14ac:dyDescent="0.4">
      <c r="A12" s="5"/>
      <c r="B12" s="260" t="s">
        <v>43</v>
      </c>
      <c r="C12" s="261"/>
      <c r="D12" s="261"/>
      <c r="E12" s="262"/>
    </row>
  </sheetData>
  <mergeCells count="11">
    <mergeCell ref="B2:E2"/>
    <mergeCell ref="B3:E3"/>
    <mergeCell ref="C4:D4"/>
    <mergeCell ref="C10:E10"/>
    <mergeCell ref="B11:E11"/>
    <mergeCell ref="B12:E12"/>
    <mergeCell ref="C5:D5"/>
    <mergeCell ref="B6:E6"/>
    <mergeCell ref="B7:E7"/>
    <mergeCell ref="C8:E8"/>
    <mergeCell ref="C9:E9"/>
  </mergeCells>
  <hyperlinks>
    <hyperlink ref="E5" r:id="rId1"/>
    <hyperlink ref="E4" r:id="rId2" display="Instructions for helper App"/>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S_RequirementsMappingSheet">
    <tabColor theme="9" tint="0.39997558519241921"/>
  </sheetPr>
  <dimension ref="A1:I19"/>
  <sheetViews>
    <sheetView showZeros="0" zoomScale="90" zoomScaleNormal="90" workbookViewId="0">
      <pane ySplit="3" topLeftCell="A4" activePane="bottomLeft" state="frozen"/>
      <selection activeCell="G20" sqref="G20"/>
      <selection pane="bottomLeft" activeCell="A16" sqref="A16:D19"/>
    </sheetView>
  </sheetViews>
  <sheetFormatPr defaultColWidth="9.1796875" defaultRowHeight="14.5" x14ac:dyDescent="0.35"/>
  <cols>
    <col min="1" max="1" width="16.7265625" style="52" customWidth="1"/>
    <col min="2" max="2" width="15.54296875" style="23" customWidth="1"/>
    <col min="3" max="3" width="25.453125" style="23" customWidth="1"/>
    <col min="4" max="4" width="52.81640625" style="23" customWidth="1"/>
    <col min="5" max="5" width="34.26953125" style="22" customWidth="1"/>
    <col min="6" max="6" width="62.81640625" style="22" customWidth="1"/>
    <col min="7" max="8" width="16.7265625" style="22" customWidth="1"/>
    <col min="9" max="9" width="19.7265625" style="22" customWidth="1"/>
    <col min="10" max="16384" width="9.1796875" style="22"/>
  </cols>
  <sheetData>
    <row r="1" spans="1:9" ht="67.5" customHeight="1" x14ac:dyDescent="0.35">
      <c r="B1" s="275" t="s">
        <v>642</v>
      </c>
      <c r="C1" s="275"/>
      <c r="D1" s="275"/>
      <c r="E1" s="275"/>
      <c r="F1" s="275"/>
    </row>
    <row r="2" spans="1:9" s="24" customFormat="1" ht="18.5" x14ac:dyDescent="0.35">
      <c r="A2" s="276" t="s">
        <v>577</v>
      </c>
      <c r="B2" s="277"/>
      <c r="C2" s="277"/>
      <c r="D2" s="277"/>
      <c r="E2" s="277"/>
      <c r="F2" s="278"/>
      <c r="G2" s="25"/>
      <c r="H2" s="26"/>
      <c r="I2" s="26"/>
    </row>
    <row r="3" spans="1:9" s="45" customFormat="1" ht="86.5" x14ac:dyDescent="0.35">
      <c r="A3" s="53" t="s">
        <v>571</v>
      </c>
      <c r="B3" s="42" t="s">
        <v>572</v>
      </c>
      <c r="C3" s="42" t="s">
        <v>570</v>
      </c>
      <c r="D3" s="42" t="s">
        <v>611</v>
      </c>
      <c r="E3" s="43" t="s">
        <v>643</v>
      </c>
      <c r="F3" s="43" t="s">
        <v>72</v>
      </c>
      <c r="G3" s="44"/>
    </row>
    <row r="4" spans="1:9" ht="43.5" x14ac:dyDescent="0.35">
      <c r="A4" s="199" t="s">
        <v>754</v>
      </c>
      <c r="B4" s="199" t="s">
        <v>112</v>
      </c>
      <c r="C4" s="199" t="s">
        <v>755</v>
      </c>
      <c r="D4" s="199" t="s">
        <v>755</v>
      </c>
      <c r="F4" s="199"/>
    </row>
    <row r="5" spans="1:9" ht="29" x14ac:dyDescent="0.35">
      <c r="A5" s="49" t="s">
        <v>700</v>
      </c>
      <c r="B5" s="49" t="s">
        <v>108</v>
      </c>
      <c r="C5" s="199" t="s">
        <v>261</v>
      </c>
      <c r="D5" s="199" t="s">
        <v>735</v>
      </c>
      <c r="F5" s="199"/>
    </row>
    <row r="6" spans="1:9" ht="29" x14ac:dyDescent="0.35">
      <c r="A6" s="49" t="s">
        <v>701</v>
      </c>
      <c r="B6" s="199" t="s">
        <v>108</v>
      </c>
      <c r="C6" s="199" t="s">
        <v>696</v>
      </c>
      <c r="D6" s="199" t="s">
        <v>680</v>
      </c>
      <c r="F6" s="199"/>
    </row>
    <row r="7" spans="1:9" ht="72.5" x14ac:dyDescent="0.35">
      <c r="A7" s="49" t="s">
        <v>703</v>
      </c>
      <c r="B7" s="199" t="s">
        <v>108</v>
      </c>
      <c r="C7" s="199" t="s">
        <v>694</v>
      </c>
      <c r="D7" s="212" t="s">
        <v>778</v>
      </c>
      <c r="F7" s="199"/>
    </row>
    <row r="8" spans="1:9" ht="58" x14ac:dyDescent="0.35">
      <c r="A8" s="49" t="s">
        <v>704</v>
      </c>
      <c r="B8" s="49" t="s">
        <v>108</v>
      </c>
      <c r="C8" s="49" t="s">
        <v>693</v>
      </c>
      <c r="D8" s="49" t="s">
        <v>741</v>
      </c>
      <c r="F8" s="49"/>
    </row>
    <row r="9" spans="1:9" ht="29" x14ac:dyDescent="0.35">
      <c r="A9" s="49" t="s">
        <v>705</v>
      </c>
      <c r="B9" s="204" t="s">
        <v>108</v>
      </c>
      <c r="C9" s="204" t="s">
        <v>689</v>
      </c>
      <c r="D9" s="204" t="s">
        <v>747</v>
      </c>
      <c r="F9" s="49"/>
    </row>
    <row r="10" spans="1:9" ht="43.5" x14ac:dyDescent="0.35">
      <c r="A10" s="49" t="s">
        <v>706</v>
      </c>
      <c r="B10" s="199" t="s">
        <v>108</v>
      </c>
      <c r="C10" s="199" t="s">
        <v>743</v>
      </c>
      <c r="D10" s="199" t="s">
        <v>742</v>
      </c>
      <c r="F10" s="199"/>
    </row>
    <row r="11" spans="1:9" ht="43.5" x14ac:dyDescent="0.35">
      <c r="A11" s="49" t="s">
        <v>707</v>
      </c>
      <c r="B11" s="49" t="s">
        <v>108</v>
      </c>
      <c r="C11" s="49" t="s">
        <v>692</v>
      </c>
      <c r="D11" s="49" t="s">
        <v>684</v>
      </c>
      <c r="F11" s="49"/>
    </row>
    <row r="12" spans="1:9" ht="43.5" x14ac:dyDescent="0.35">
      <c r="A12" s="49" t="s">
        <v>708</v>
      </c>
      <c r="B12" s="49" t="s">
        <v>108</v>
      </c>
      <c r="C12" s="49" t="s">
        <v>691</v>
      </c>
      <c r="D12" s="49" t="s">
        <v>686</v>
      </c>
      <c r="F12" s="49"/>
    </row>
    <row r="13" spans="1:9" ht="29" x14ac:dyDescent="0.35">
      <c r="A13" s="49" t="s">
        <v>709</v>
      </c>
      <c r="B13" s="49" t="s">
        <v>108</v>
      </c>
      <c r="C13" s="49" t="s">
        <v>690</v>
      </c>
      <c r="D13" s="210" t="s">
        <v>683</v>
      </c>
      <c r="F13" s="49"/>
    </row>
    <row r="14" spans="1:9" ht="29" x14ac:dyDescent="0.35">
      <c r="A14" s="49" t="s">
        <v>710</v>
      </c>
      <c r="B14" s="204" t="s">
        <v>108</v>
      </c>
      <c r="C14" s="204" t="s">
        <v>687</v>
      </c>
      <c r="D14" s="204" t="s">
        <v>765</v>
      </c>
      <c r="F14" s="49"/>
    </row>
    <row r="15" spans="1:9" ht="43.5" x14ac:dyDescent="0.35">
      <c r="A15" s="49" t="s">
        <v>711</v>
      </c>
      <c r="B15" s="199" t="s">
        <v>108</v>
      </c>
      <c r="C15" s="199" t="s">
        <v>688</v>
      </c>
      <c r="D15" s="199" t="s">
        <v>766</v>
      </c>
      <c r="F15" s="199"/>
    </row>
    <row r="16" spans="1:9" ht="43.5" x14ac:dyDescent="0.35">
      <c r="A16" s="49" t="s">
        <v>712</v>
      </c>
      <c r="B16" s="49" t="s">
        <v>108</v>
      </c>
      <c r="C16" s="49" t="s">
        <v>685</v>
      </c>
      <c r="D16" s="205" t="s">
        <v>750</v>
      </c>
      <c r="F16" s="49"/>
    </row>
    <row r="17" spans="1:6" ht="29" x14ac:dyDescent="0.35">
      <c r="A17" s="49" t="s">
        <v>769</v>
      </c>
      <c r="B17" s="49" t="s">
        <v>108</v>
      </c>
      <c r="C17" s="49" t="s">
        <v>770</v>
      </c>
      <c r="D17" s="205" t="s">
        <v>771</v>
      </c>
      <c r="F17" s="49"/>
    </row>
    <row r="18" spans="1:6" ht="29" x14ac:dyDescent="0.35">
      <c r="A18" s="49" t="s">
        <v>713</v>
      </c>
      <c r="B18" s="49" t="s">
        <v>108</v>
      </c>
      <c r="C18" s="49" t="s">
        <v>773</v>
      </c>
      <c r="D18" s="205" t="s">
        <v>774</v>
      </c>
      <c r="F18" s="49"/>
    </row>
    <row r="19" spans="1:6" ht="29" x14ac:dyDescent="0.35">
      <c r="A19" s="49" t="s">
        <v>714</v>
      </c>
      <c r="B19" s="49" t="s">
        <v>108</v>
      </c>
      <c r="C19" s="49" t="s">
        <v>775</v>
      </c>
      <c r="D19" s="205" t="s">
        <v>776</v>
      </c>
      <c r="F19" s="49"/>
    </row>
  </sheetData>
  <autoFilter ref="A3:F3"/>
  <mergeCells count="2">
    <mergeCell ref="B1:F1"/>
    <mergeCell ref="A2:F2"/>
  </mergeCells>
  <dataValidations count="3">
    <dataValidation allowBlank="1" showInputMessage="1" showErrorMessage="1" prompt="Description of the Requirement" sqref="D3"/>
    <dataValidation type="list" allowBlank="1" showInputMessage="1" showErrorMessage="1" sqref="E4:E1048576">
      <formula1>Systems</formula1>
    </dataValidation>
    <dataValidation type="list" allowBlank="1" showInputMessage="1" showErrorMessage="1" sqref="B4:B19">
      <formula1>issueType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Pict="0" macro="[0]!SystemsMappingRepeatRequirement">
                <anchor moveWithCells="1" sizeWithCells="1">
                  <from>
                    <xdr:col>0</xdr:col>
                    <xdr:colOff>12700</xdr:colOff>
                    <xdr:row>0</xdr:row>
                    <xdr:rowOff>12700</xdr:rowOff>
                  </from>
                  <to>
                    <xdr:col>0</xdr:col>
                    <xdr:colOff>1104900</xdr:colOff>
                    <xdr:row>1</xdr:row>
                    <xdr:rowOff>0</xdr:rowOff>
                  </to>
                </anchor>
              </controlPr>
            </control>
          </mc:Choice>
        </mc:AlternateContent>
        <mc:AlternateContent xmlns:mc="http://schemas.openxmlformats.org/markup-compatibility/2006">
          <mc:Choice Requires="x14">
            <control shapeId="8203" r:id="rId5" name="Button 11">
              <controlPr defaultSize="0" print="0" autoFill="0" autoPict="0" macro="[0]!MoveUpIS_RequirementsMappingRow" altText="Move Up">
                <anchor moveWithCells="1" sizeWithCells="1">
                  <from>
                    <xdr:col>5</xdr:col>
                    <xdr:colOff>1422400</xdr:colOff>
                    <xdr:row>1</xdr:row>
                    <xdr:rowOff>12700</xdr:rowOff>
                  </from>
                  <to>
                    <xdr:col>5</xdr:col>
                    <xdr:colOff>2794000</xdr:colOff>
                    <xdr:row>1</xdr:row>
                    <xdr:rowOff>228600</xdr:rowOff>
                  </to>
                </anchor>
              </controlPr>
            </control>
          </mc:Choice>
        </mc:AlternateContent>
        <mc:AlternateContent xmlns:mc="http://schemas.openxmlformats.org/markup-compatibility/2006">
          <mc:Choice Requires="x14">
            <control shapeId="8204" r:id="rId6" name="Button 12">
              <controlPr defaultSize="0" print="0" autoFill="0" autoPict="0" macro="[0]!MoveDownIS_RequirementsMappingRow">
                <anchor moveWithCells="1" sizeWithCells="1">
                  <from>
                    <xdr:col>5</xdr:col>
                    <xdr:colOff>2813050</xdr:colOff>
                    <xdr:row>1</xdr:row>
                    <xdr:rowOff>12700</xdr:rowOff>
                  </from>
                  <to>
                    <xdr:col>5</xdr:col>
                    <xdr:colOff>4184650</xdr:colOff>
                    <xdr:row>1</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S_ImpactedSystemsSheet">
    <tabColor theme="9" tint="0.39997558519241921"/>
  </sheetPr>
  <dimension ref="A1:E478"/>
  <sheetViews>
    <sheetView workbookViewId="0">
      <pane ySplit="1" topLeftCell="A2" activePane="bottomLeft" state="frozenSplit"/>
      <selection pane="bottomLeft" activeCell="A4" sqref="A4"/>
    </sheetView>
  </sheetViews>
  <sheetFormatPr defaultColWidth="9.1796875" defaultRowHeight="14.5" x14ac:dyDescent="0.35"/>
  <cols>
    <col min="1" max="1" width="42.453125" style="2" customWidth="1"/>
    <col min="2" max="2" width="17.54296875" style="13" customWidth="1"/>
    <col min="3" max="3" width="49" style="2" customWidth="1"/>
    <col min="4" max="4" width="47" style="2" customWidth="1"/>
    <col min="5" max="5" width="19.453125" style="2" customWidth="1"/>
    <col min="6" max="16384" width="9.1796875" style="2"/>
  </cols>
  <sheetData>
    <row r="1" spans="1:5" ht="22.5" customHeight="1" x14ac:dyDescent="0.35">
      <c r="A1" s="28" t="s">
        <v>71</v>
      </c>
      <c r="B1" s="29" t="s">
        <v>73</v>
      </c>
      <c r="C1" s="28" t="s">
        <v>74</v>
      </c>
      <c r="D1" s="193" t="s">
        <v>38</v>
      </c>
      <c r="E1" s="15"/>
    </row>
    <row r="2" spans="1:5" s="196" customFormat="1" ht="29" x14ac:dyDescent="0.35">
      <c r="A2" s="195" t="s">
        <v>648</v>
      </c>
      <c r="B2" s="195"/>
      <c r="C2" s="195" t="s">
        <v>649</v>
      </c>
      <c r="D2" s="196" t="s">
        <v>651</v>
      </c>
    </row>
    <row r="3" spans="1:5" s="196" customFormat="1" ht="29" x14ac:dyDescent="0.35">
      <c r="A3" s="195" t="s">
        <v>653</v>
      </c>
      <c r="B3" s="197"/>
      <c r="C3" s="196" t="s">
        <v>650</v>
      </c>
      <c r="D3" s="196" t="s">
        <v>624</v>
      </c>
    </row>
    <row r="4" spans="1:5" x14ac:dyDescent="0.35">
      <c r="A4" s="5"/>
      <c r="B4" s="194"/>
    </row>
    <row r="5" spans="1:5" x14ac:dyDescent="0.35">
      <c r="A5" s="5"/>
      <c r="B5" s="194"/>
    </row>
    <row r="6" spans="1:5" x14ac:dyDescent="0.35">
      <c r="A6" s="5"/>
      <c r="B6" s="194"/>
    </row>
    <row r="7" spans="1:5" x14ac:dyDescent="0.35">
      <c r="A7" s="5"/>
      <c r="B7" s="194"/>
    </row>
    <row r="8" spans="1:5" x14ac:dyDescent="0.35">
      <c r="A8" s="5"/>
      <c r="B8" s="194"/>
    </row>
    <row r="9" spans="1:5" x14ac:dyDescent="0.35">
      <c r="A9" s="5"/>
      <c r="B9" s="194"/>
    </row>
    <row r="10" spans="1:5" x14ac:dyDescent="0.35">
      <c r="A10" s="5"/>
      <c r="B10" s="194"/>
    </row>
    <row r="11" spans="1:5" x14ac:dyDescent="0.35">
      <c r="A11" s="5"/>
      <c r="B11" s="194"/>
    </row>
    <row r="12" spans="1:5" x14ac:dyDescent="0.35">
      <c r="A12" s="5"/>
      <c r="B12" s="194"/>
    </row>
    <row r="13" spans="1:5" x14ac:dyDescent="0.35">
      <c r="A13" s="5"/>
      <c r="B13" s="194"/>
    </row>
    <row r="14" spans="1:5" x14ac:dyDescent="0.35">
      <c r="A14" s="5"/>
      <c r="B14" s="194"/>
    </row>
    <row r="15" spans="1:5" x14ac:dyDescent="0.35">
      <c r="A15" s="5"/>
      <c r="B15" s="194"/>
    </row>
    <row r="16" spans="1:5" x14ac:dyDescent="0.35">
      <c r="A16" s="5"/>
      <c r="B16" s="194"/>
    </row>
    <row r="17" spans="1:2" x14ac:dyDescent="0.35">
      <c r="A17" s="5"/>
      <c r="B17" s="194"/>
    </row>
    <row r="18" spans="1:2" x14ac:dyDescent="0.35">
      <c r="A18" s="5"/>
      <c r="B18" s="194"/>
    </row>
    <row r="19" spans="1:2" x14ac:dyDescent="0.35">
      <c r="A19" s="5"/>
      <c r="B19" s="194"/>
    </row>
    <row r="20" spans="1:2" x14ac:dyDescent="0.35">
      <c r="A20" s="5"/>
      <c r="B20" s="194"/>
    </row>
    <row r="21" spans="1:2" x14ac:dyDescent="0.35">
      <c r="A21" s="5"/>
      <c r="B21" s="194"/>
    </row>
    <row r="22" spans="1:2" x14ac:dyDescent="0.35">
      <c r="A22" s="5"/>
      <c r="B22" s="194"/>
    </row>
    <row r="23" spans="1:2" x14ac:dyDescent="0.35">
      <c r="A23" s="5"/>
      <c r="B23" s="194"/>
    </row>
    <row r="24" spans="1:2" x14ac:dyDescent="0.35">
      <c r="A24" s="5"/>
      <c r="B24" s="194"/>
    </row>
    <row r="25" spans="1:2" x14ac:dyDescent="0.35">
      <c r="A25" s="5"/>
      <c r="B25" s="194"/>
    </row>
    <row r="26" spans="1:2" x14ac:dyDescent="0.35">
      <c r="A26" s="5"/>
      <c r="B26" s="194"/>
    </row>
    <row r="27" spans="1:2" x14ac:dyDescent="0.35">
      <c r="A27" s="5"/>
      <c r="B27" s="194"/>
    </row>
    <row r="28" spans="1:2" x14ac:dyDescent="0.35">
      <c r="A28" s="5"/>
      <c r="B28" s="194"/>
    </row>
    <row r="29" spans="1:2" x14ac:dyDescent="0.35">
      <c r="A29" s="5"/>
      <c r="B29" s="194"/>
    </row>
    <row r="30" spans="1:2" x14ac:dyDescent="0.35">
      <c r="A30" s="5"/>
      <c r="B30" s="194"/>
    </row>
    <row r="31" spans="1:2" x14ac:dyDescent="0.35">
      <c r="A31" s="5"/>
      <c r="B31" s="194"/>
    </row>
    <row r="32" spans="1:2" x14ac:dyDescent="0.35">
      <c r="A32" s="5"/>
      <c r="B32" s="194"/>
    </row>
    <row r="33" spans="1:2" x14ac:dyDescent="0.35">
      <c r="A33" s="5"/>
      <c r="B33" s="194"/>
    </row>
    <row r="34" spans="1:2" x14ac:dyDescent="0.35">
      <c r="A34" s="5"/>
      <c r="B34" s="194"/>
    </row>
    <row r="35" spans="1:2" x14ac:dyDescent="0.35">
      <c r="A35" s="5"/>
      <c r="B35" s="194"/>
    </row>
    <row r="36" spans="1:2" x14ac:dyDescent="0.35">
      <c r="A36" s="5"/>
      <c r="B36" s="194"/>
    </row>
    <row r="37" spans="1:2" x14ac:dyDescent="0.35">
      <c r="A37" s="5"/>
      <c r="B37" s="194"/>
    </row>
    <row r="38" spans="1:2" x14ac:dyDescent="0.35">
      <c r="A38" s="5"/>
      <c r="B38" s="194"/>
    </row>
    <row r="39" spans="1:2" x14ac:dyDescent="0.35">
      <c r="A39" s="5"/>
      <c r="B39" s="194"/>
    </row>
    <row r="40" spans="1:2" x14ac:dyDescent="0.35">
      <c r="A40" s="5"/>
      <c r="B40" s="194"/>
    </row>
    <row r="41" spans="1:2" x14ac:dyDescent="0.35">
      <c r="A41" s="5"/>
      <c r="B41" s="194"/>
    </row>
    <row r="42" spans="1:2" x14ac:dyDescent="0.35">
      <c r="A42" s="5"/>
      <c r="B42" s="194"/>
    </row>
    <row r="43" spans="1:2" x14ac:dyDescent="0.35">
      <c r="A43" s="5"/>
      <c r="B43" s="194"/>
    </row>
    <row r="44" spans="1:2" x14ac:dyDescent="0.35">
      <c r="A44" s="5"/>
      <c r="B44" s="194"/>
    </row>
    <row r="45" spans="1:2" x14ac:dyDescent="0.35">
      <c r="A45" s="5"/>
      <c r="B45" s="194"/>
    </row>
    <row r="46" spans="1:2" x14ac:dyDescent="0.35">
      <c r="A46" s="5"/>
      <c r="B46" s="194"/>
    </row>
    <row r="47" spans="1:2" x14ac:dyDescent="0.35">
      <c r="A47" s="5"/>
      <c r="B47" s="194"/>
    </row>
    <row r="48" spans="1:2" x14ac:dyDescent="0.35">
      <c r="A48" s="5"/>
      <c r="B48" s="194"/>
    </row>
    <row r="49" spans="1:2" x14ac:dyDescent="0.35">
      <c r="A49" s="5"/>
      <c r="B49" s="194"/>
    </row>
    <row r="50" spans="1:2" x14ac:dyDescent="0.35">
      <c r="A50" s="5"/>
      <c r="B50" s="194"/>
    </row>
    <row r="51" spans="1:2" x14ac:dyDescent="0.35">
      <c r="A51" s="5"/>
      <c r="B51" s="194"/>
    </row>
    <row r="52" spans="1:2" x14ac:dyDescent="0.35">
      <c r="A52" s="5"/>
      <c r="B52" s="194"/>
    </row>
    <row r="53" spans="1:2" x14ac:dyDescent="0.35">
      <c r="A53" s="5"/>
      <c r="B53" s="194"/>
    </row>
    <row r="54" spans="1:2" x14ac:dyDescent="0.35">
      <c r="A54" s="5"/>
      <c r="B54" s="194"/>
    </row>
    <row r="55" spans="1:2" x14ac:dyDescent="0.35">
      <c r="A55" s="5"/>
      <c r="B55" s="194"/>
    </row>
    <row r="56" spans="1:2" x14ac:dyDescent="0.35">
      <c r="A56" s="5"/>
      <c r="B56" s="194"/>
    </row>
    <row r="57" spans="1:2" x14ac:dyDescent="0.35">
      <c r="A57" s="5"/>
      <c r="B57" s="194"/>
    </row>
    <row r="58" spans="1:2" x14ac:dyDescent="0.35">
      <c r="A58" s="5"/>
      <c r="B58" s="194"/>
    </row>
    <row r="59" spans="1:2" x14ac:dyDescent="0.35">
      <c r="A59" s="5"/>
      <c r="B59" s="194"/>
    </row>
    <row r="60" spans="1:2" x14ac:dyDescent="0.35">
      <c r="A60" s="5"/>
      <c r="B60" s="194"/>
    </row>
    <row r="61" spans="1:2" x14ac:dyDescent="0.35">
      <c r="A61" s="5"/>
      <c r="B61" s="194"/>
    </row>
    <row r="62" spans="1:2" x14ac:dyDescent="0.35">
      <c r="A62" s="5"/>
      <c r="B62" s="194"/>
    </row>
    <row r="63" spans="1:2" x14ac:dyDescent="0.35">
      <c r="A63" s="5"/>
      <c r="B63" s="194"/>
    </row>
    <row r="64" spans="1:2" x14ac:dyDescent="0.35">
      <c r="A64" s="5"/>
      <c r="B64" s="194"/>
    </row>
    <row r="65" spans="1:2" x14ac:dyDescent="0.35">
      <c r="A65" s="5"/>
      <c r="B65" s="194"/>
    </row>
    <row r="66" spans="1:2" x14ac:dyDescent="0.35">
      <c r="A66" s="5"/>
      <c r="B66" s="194"/>
    </row>
    <row r="67" spans="1:2" x14ac:dyDescent="0.35">
      <c r="A67" s="5"/>
      <c r="B67" s="194"/>
    </row>
    <row r="68" spans="1:2" x14ac:dyDescent="0.35">
      <c r="A68" s="5"/>
      <c r="B68" s="194"/>
    </row>
    <row r="69" spans="1:2" x14ac:dyDescent="0.35">
      <c r="A69" s="5"/>
      <c r="B69" s="194"/>
    </row>
    <row r="70" spans="1:2" x14ac:dyDescent="0.35">
      <c r="A70" s="5"/>
      <c r="B70" s="194"/>
    </row>
    <row r="71" spans="1:2" x14ac:dyDescent="0.35">
      <c r="A71" s="5"/>
      <c r="B71" s="194"/>
    </row>
    <row r="72" spans="1:2" x14ac:dyDescent="0.35">
      <c r="A72" s="5"/>
      <c r="B72" s="194"/>
    </row>
    <row r="73" spans="1:2" x14ac:dyDescent="0.35">
      <c r="A73" s="5"/>
      <c r="B73" s="194"/>
    </row>
    <row r="74" spans="1:2" x14ac:dyDescent="0.35">
      <c r="A74" s="5"/>
      <c r="B74" s="194"/>
    </row>
    <row r="75" spans="1:2" x14ac:dyDescent="0.35">
      <c r="A75" s="5"/>
      <c r="B75" s="194"/>
    </row>
    <row r="76" spans="1:2" x14ac:dyDescent="0.35">
      <c r="A76" s="5"/>
      <c r="B76" s="194"/>
    </row>
    <row r="77" spans="1:2" x14ac:dyDescent="0.35">
      <c r="A77" s="5"/>
      <c r="B77" s="194"/>
    </row>
    <row r="78" spans="1:2" x14ac:dyDescent="0.35">
      <c r="A78" s="5"/>
      <c r="B78" s="194"/>
    </row>
    <row r="79" spans="1:2" x14ac:dyDescent="0.35">
      <c r="A79" s="5"/>
      <c r="B79" s="194"/>
    </row>
    <row r="80" spans="1:2" x14ac:dyDescent="0.35">
      <c r="A80" s="5"/>
      <c r="B80" s="194"/>
    </row>
    <row r="81" spans="1:2" x14ac:dyDescent="0.35">
      <c r="A81" s="5"/>
      <c r="B81" s="194"/>
    </row>
    <row r="82" spans="1:2" x14ac:dyDescent="0.35">
      <c r="A82" s="5"/>
      <c r="B82" s="194"/>
    </row>
    <row r="83" spans="1:2" x14ac:dyDescent="0.35">
      <c r="A83" s="5"/>
      <c r="B83" s="194"/>
    </row>
    <row r="84" spans="1:2" x14ac:dyDescent="0.35">
      <c r="A84" s="5"/>
      <c r="B84" s="194"/>
    </row>
    <row r="85" spans="1:2" x14ac:dyDescent="0.35">
      <c r="A85" s="5"/>
      <c r="B85" s="194"/>
    </row>
    <row r="86" spans="1:2" x14ac:dyDescent="0.35">
      <c r="A86" s="5"/>
      <c r="B86" s="194"/>
    </row>
    <row r="87" spans="1:2" x14ac:dyDescent="0.35">
      <c r="A87" s="5"/>
      <c r="B87" s="194"/>
    </row>
    <row r="88" spans="1:2" x14ac:dyDescent="0.35">
      <c r="A88" s="5"/>
      <c r="B88" s="194"/>
    </row>
    <row r="89" spans="1:2" x14ac:dyDescent="0.35">
      <c r="A89" s="5"/>
      <c r="B89" s="194"/>
    </row>
    <row r="90" spans="1:2" x14ac:dyDescent="0.35">
      <c r="A90" s="5"/>
      <c r="B90" s="194"/>
    </row>
    <row r="91" spans="1:2" x14ac:dyDescent="0.35">
      <c r="A91" s="5"/>
      <c r="B91" s="194"/>
    </row>
    <row r="92" spans="1:2" x14ac:dyDescent="0.35">
      <c r="A92" s="5"/>
      <c r="B92" s="194"/>
    </row>
    <row r="93" spans="1:2" x14ac:dyDescent="0.35">
      <c r="A93" s="5"/>
      <c r="B93" s="194"/>
    </row>
    <row r="94" spans="1:2" x14ac:dyDescent="0.35">
      <c r="A94" s="5"/>
      <c r="B94" s="194"/>
    </row>
    <row r="95" spans="1:2" x14ac:dyDescent="0.35">
      <c r="A95" s="5"/>
      <c r="B95" s="194"/>
    </row>
    <row r="96" spans="1:2" x14ac:dyDescent="0.35">
      <c r="A96" s="5"/>
      <c r="B96" s="194"/>
    </row>
    <row r="97" spans="1:2" x14ac:dyDescent="0.35">
      <c r="A97" s="5"/>
      <c r="B97" s="194"/>
    </row>
    <row r="98" spans="1:2" x14ac:dyDescent="0.35">
      <c r="A98" s="5"/>
      <c r="B98" s="194"/>
    </row>
    <row r="99" spans="1:2" x14ac:dyDescent="0.35">
      <c r="A99" s="5"/>
      <c r="B99" s="194"/>
    </row>
    <row r="100" spans="1:2" x14ac:dyDescent="0.35">
      <c r="A100" s="5"/>
      <c r="B100" s="194"/>
    </row>
    <row r="101" spans="1:2" x14ac:dyDescent="0.35">
      <c r="A101" s="5"/>
      <c r="B101" s="194"/>
    </row>
    <row r="102" spans="1:2" x14ac:dyDescent="0.35">
      <c r="A102" s="5"/>
      <c r="B102" s="194"/>
    </row>
    <row r="103" spans="1:2" x14ac:dyDescent="0.35">
      <c r="A103" s="5"/>
      <c r="B103" s="194"/>
    </row>
    <row r="104" spans="1:2" x14ac:dyDescent="0.35">
      <c r="A104" s="5"/>
      <c r="B104" s="194"/>
    </row>
    <row r="105" spans="1:2" x14ac:dyDescent="0.35">
      <c r="A105" s="5"/>
      <c r="B105" s="194"/>
    </row>
    <row r="106" spans="1:2" x14ac:dyDescent="0.35">
      <c r="A106" s="5"/>
      <c r="B106" s="194"/>
    </row>
    <row r="107" spans="1:2" x14ac:dyDescent="0.35">
      <c r="A107" s="5"/>
      <c r="B107" s="194"/>
    </row>
    <row r="108" spans="1:2" x14ac:dyDescent="0.35">
      <c r="A108" s="5"/>
      <c r="B108" s="194"/>
    </row>
    <row r="109" spans="1:2" x14ac:dyDescent="0.35">
      <c r="A109" s="5"/>
      <c r="B109" s="194"/>
    </row>
    <row r="110" spans="1:2" x14ac:dyDescent="0.35">
      <c r="A110" s="5"/>
      <c r="B110" s="194"/>
    </row>
    <row r="111" spans="1:2" x14ac:dyDescent="0.35">
      <c r="A111" s="5"/>
      <c r="B111" s="194"/>
    </row>
    <row r="112" spans="1:2" x14ac:dyDescent="0.35">
      <c r="A112" s="5"/>
      <c r="B112" s="194"/>
    </row>
    <row r="113" spans="1:2" x14ac:dyDescent="0.35">
      <c r="A113" s="5"/>
      <c r="B113" s="194"/>
    </row>
    <row r="114" spans="1:2" x14ac:dyDescent="0.35">
      <c r="A114" s="5"/>
      <c r="B114" s="194"/>
    </row>
    <row r="115" spans="1:2" x14ac:dyDescent="0.35">
      <c r="A115" s="5"/>
      <c r="B115" s="194"/>
    </row>
    <row r="116" spans="1:2" x14ac:dyDescent="0.35">
      <c r="A116" s="5"/>
      <c r="B116" s="194"/>
    </row>
    <row r="117" spans="1:2" x14ac:dyDescent="0.35">
      <c r="A117" s="5"/>
      <c r="B117" s="194"/>
    </row>
    <row r="118" spans="1:2" x14ac:dyDescent="0.35">
      <c r="A118" s="5"/>
      <c r="B118" s="194"/>
    </row>
    <row r="119" spans="1:2" x14ac:dyDescent="0.35">
      <c r="A119" s="5"/>
      <c r="B119" s="194"/>
    </row>
    <row r="120" spans="1:2" x14ac:dyDescent="0.35">
      <c r="A120" s="5"/>
      <c r="B120" s="194"/>
    </row>
    <row r="121" spans="1:2" x14ac:dyDescent="0.35">
      <c r="A121" s="5"/>
      <c r="B121" s="194"/>
    </row>
    <row r="122" spans="1:2" x14ac:dyDescent="0.35">
      <c r="A122" s="5"/>
      <c r="B122" s="194"/>
    </row>
    <row r="123" spans="1:2" x14ac:dyDescent="0.35">
      <c r="A123" s="5"/>
      <c r="B123" s="194"/>
    </row>
    <row r="124" spans="1:2" x14ac:dyDescent="0.35">
      <c r="A124" s="5"/>
      <c r="B124" s="194"/>
    </row>
    <row r="125" spans="1:2" x14ac:dyDescent="0.35">
      <c r="A125" s="5"/>
      <c r="B125" s="194"/>
    </row>
    <row r="126" spans="1:2" x14ac:dyDescent="0.35">
      <c r="A126" s="5"/>
      <c r="B126" s="194"/>
    </row>
    <row r="127" spans="1:2" x14ac:dyDescent="0.35">
      <c r="A127" s="5"/>
      <c r="B127" s="194"/>
    </row>
    <row r="128" spans="1:2" x14ac:dyDescent="0.35">
      <c r="A128" s="5"/>
      <c r="B128" s="194"/>
    </row>
    <row r="129" spans="1:2" x14ac:dyDescent="0.35">
      <c r="A129" s="5"/>
      <c r="B129" s="194"/>
    </row>
    <row r="130" spans="1:2" x14ac:dyDescent="0.35">
      <c r="A130" s="5"/>
      <c r="B130" s="194"/>
    </row>
    <row r="131" spans="1:2" x14ac:dyDescent="0.35">
      <c r="A131" s="5"/>
      <c r="B131" s="194"/>
    </row>
    <row r="132" spans="1:2" x14ac:dyDescent="0.35">
      <c r="A132" s="5"/>
      <c r="B132" s="194"/>
    </row>
    <row r="133" spans="1:2" x14ac:dyDescent="0.35">
      <c r="A133" s="5"/>
      <c r="B133" s="194"/>
    </row>
    <row r="134" spans="1:2" x14ac:dyDescent="0.35">
      <c r="A134" s="5"/>
      <c r="B134" s="194"/>
    </row>
    <row r="135" spans="1:2" x14ac:dyDescent="0.35">
      <c r="A135" s="5"/>
      <c r="B135" s="194"/>
    </row>
    <row r="136" spans="1:2" x14ac:dyDescent="0.35">
      <c r="A136" s="5"/>
      <c r="B136" s="194"/>
    </row>
    <row r="137" spans="1:2" x14ac:dyDescent="0.35">
      <c r="A137" s="5"/>
      <c r="B137" s="194"/>
    </row>
    <row r="138" spans="1:2" x14ac:dyDescent="0.35">
      <c r="A138" s="5"/>
      <c r="B138" s="194"/>
    </row>
    <row r="139" spans="1:2" x14ac:dyDescent="0.35">
      <c r="A139" s="5"/>
      <c r="B139" s="194"/>
    </row>
    <row r="140" spans="1:2" x14ac:dyDescent="0.35">
      <c r="A140" s="5"/>
      <c r="B140" s="194"/>
    </row>
    <row r="141" spans="1:2" x14ac:dyDescent="0.35">
      <c r="A141" s="5"/>
      <c r="B141" s="194"/>
    </row>
    <row r="142" spans="1:2" x14ac:dyDescent="0.35">
      <c r="A142" s="5"/>
      <c r="B142" s="194"/>
    </row>
    <row r="143" spans="1:2" x14ac:dyDescent="0.35">
      <c r="A143" s="5"/>
      <c r="B143" s="194"/>
    </row>
    <row r="144" spans="1:2" x14ac:dyDescent="0.35">
      <c r="A144" s="5"/>
      <c r="B144" s="194"/>
    </row>
    <row r="145" spans="1:2" x14ac:dyDescent="0.35">
      <c r="A145" s="5"/>
      <c r="B145" s="194"/>
    </row>
    <row r="146" spans="1:2" x14ac:dyDescent="0.35">
      <c r="A146" s="5"/>
      <c r="B146" s="194"/>
    </row>
    <row r="147" spans="1:2" x14ac:dyDescent="0.35">
      <c r="A147" s="5"/>
      <c r="B147" s="194"/>
    </row>
    <row r="148" spans="1:2" x14ac:dyDescent="0.35">
      <c r="A148" s="5"/>
      <c r="B148" s="194"/>
    </row>
    <row r="149" spans="1:2" x14ac:dyDescent="0.35">
      <c r="A149" s="5"/>
      <c r="B149" s="194"/>
    </row>
    <row r="150" spans="1:2" x14ac:dyDescent="0.35">
      <c r="A150" s="5"/>
      <c r="B150" s="194"/>
    </row>
    <row r="151" spans="1:2" x14ac:dyDescent="0.35">
      <c r="A151" s="5"/>
      <c r="B151" s="194"/>
    </row>
    <row r="152" spans="1:2" x14ac:dyDescent="0.35">
      <c r="A152" s="5"/>
      <c r="B152" s="194"/>
    </row>
    <row r="153" spans="1:2" x14ac:dyDescent="0.35">
      <c r="A153" s="5"/>
      <c r="B153" s="194"/>
    </row>
    <row r="154" spans="1:2" x14ac:dyDescent="0.35">
      <c r="A154" s="5"/>
      <c r="B154" s="194"/>
    </row>
    <row r="155" spans="1:2" x14ac:dyDescent="0.35">
      <c r="A155" s="5"/>
      <c r="B155" s="194"/>
    </row>
    <row r="156" spans="1:2" x14ac:dyDescent="0.35">
      <c r="A156" s="5"/>
      <c r="B156" s="194"/>
    </row>
    <row r="157" spans="1:2" x14ac:dyDescent="0.35">
      <c r="A157" s="5"/>
      <c r="B157" s="194"/>
    </row>
    <row r="158" spans="1:2" x14ac:dyDescent="0.35">
      <c r="A158" s="5"/>
      <c r="B158" s="194"/>
    </row>
    <row r="159" spans="1:2" x14ac:dyDescent="0.35">
      <c r="A159" s="5"/>
      <c r="B159" s="194"/>
    </row>
    <row r="160" spans="1:2" x14ac:dyDescent="0.35">
      <c r="A160" s="5"/>
      <c r="B160" s="194"/>
    </row>
    <row r="161" spans="1:2" x14ac:dyDescent="0.35">
      <c r="A161" s="5"/>
      <c r="B161" s="194"/>
    </row>
    <row r="162" spans="1:2" x14ac:dyDescent="0.35">
      <c r="A162" s="5"/>
      <c r="B162" s="194"/>
    </row>
    <row r="163" spans="1:2" x14ac:dyDescent="0.35">
      <c r="A163" s="5"/>
      <c r="B163" s="194"/>
    </row>
    <row r="164" spans="1:2" x14ac:dyDescent="0.35">
      <c r="A164" s="5"/>
      <c r="B164" s="194"/>
    </row>
    <row r="165" spans="1:2" x14ac:dyDescent="0.35">
      <c r="A165" s="5"/>
      <c r="B165" s="194"/>
    </row>
    <row r="166" spans="1:2" x14ac:dyDescent="0.35">
      <c r="A166" s="5"/>
      <c r="B166" s="194"/>
    </row>
    <row r="167" spans="1:2" x14ac:dyDescent="0.35">
      <c r="A167" s="5"/>
      <c r="B167" s="194"/>
    </row>
    <row r="168" spans="1:2" x14ac:dyDescent="0.35">
      <c r="A168" s="5"/>
      <c r="B168" s="194"/>
    </row>
    <row r="169" spans="1:2" x14ac:dyDescent="0.35">
      <c r="A169" s="5"/>
      <c r="B169" s="194"/>
    </row>
    <row r="170" spans="1:2" x14ac:dyDescent="0.35">
      <c r="A170" s="5"/>
      <c r="B170" s="194"/>
    </row>
    <row r="171" spans="1:2" x14ac:dyDescent="0.35">
      <c r="A171" s="5"/>
      <c r="B171" s="194"/>
    </row>
    <row r="172" spans="1:2" x14ac:dyDescent="0.35">
      <c r="A172" s="5"/>
      <c r="B172" s="194"/>
    </row>
    <row r="173" spans="1:2" x14ac:dyDescent="0.35">
      <c r="A173" s="5"/>
      <c r="B173" s="194"/>
    </row>
    <row r="174" spans="1:2" x14ac:dyDescent="0.35">
      <c r="A174" s="5"/>
      <c r="B174" s="194"/>
    </row>
    <row r="175" spans="1:2" x14ac:dyDescent="0.35">
      <c r="A175" s="5"/>
      <c r="B175" s="194"/>
    </row>
    <row r="176" spans="1:2" x14ac:dyDescent="0.35">
      <c r="A176" s="5"/>
      <c r="B176" s="194"/>
    </row>
    <row r="177" spans="1:2" x14ac:dyDescent="0.35">
      <c r="A177" s="5"/>
      <c r="B177" s="194"/>
    </row>
    <row r="178" spans="1:2" x14ac:dyDescent="0.35">
      <c r="A178" s="5"/>
      <c r="B178" s="194"/>
    </row>
    <row r="179" spans="1:2" x14ac:dyDescent="0.35">
      <c r="A179" s="5"/>
      <c r="B179" s="194"/>
    </row>
    <row r="180" spans="1:2" x14ac:dyDescent="0.35">
      <c r="A180" s="5"/>
      <c r="B180" s="194"/>
    </row>
    <row r="181" spans="1:2" x14ac:dyDescent="0.35">
      <c r="A181" s="5"/>
      <c r="B181" s="194"/>
    </row>
    <row r="182" spans="1:2" x14ac:dyDescent="0.35">
      <c r="A182" s="5"/>
      <c r="B182" s="194"/>
    </row>
    <row r="183" spans="1:2" x14ac:dyDescent="0.35">
      <c r="A183" s="5"/>
      <c r="B183" s="194"/>
    </row>
    <row r="184" spans="1:2" x14ac:dyDescent="0.35">
      <c r="A184" s="5"/>
      <c r="B184" s="194"/>
    </row>
    <row r="185" spans="1:2" x14ac:dyDescent="0.35">
      <c r="A185" s="5"/>
      <c r="B185" s="194"/>
    </row>
    <row r="186" spans="1:2" x14ac:dyDescent="0.35">
      <c r="A186" s="5"/>
      <c r="B186" s="194"/>
    </row>
    <row r="187" spans="1:2" x14ac:dyDescent="0.35">
      <c r="A187" s="5"/>
      <c r="B187" s="194"/>
    </row>
    <row r="188" spans="1:2" x14ac:dyDescent="0.35">
      <c r="A188" s="5"/>
      <c r="B188" s="194"/>
    </row>
    <row r="189" spans="1:2" x14ac:dyDescent="0.35">
      <c r="A189" s="5"/>
      <c r="B189" s="194"/>
    </row>
    <row r="190" spans="1:2" x14ac:dyDescent="0.35">
      <c r="A190" s="5"/>
      <c r="B190" s="194"/>
    </row>
    <row r="191" spans="1:2" x14ac:dyDescent="0.35">
      <c r="A191" s="5"/>
      <c r="B191" s="194"/>
    </row>
    <row r="192" spans="1:2" x14ac:dyDescent="0.35">
      <c r="A192" s="5"/>
      <c r="B192" s="194"/>
    </row>
    <row r="193" spans="1:2" x14ac:dyDescent="0.35">
      <c r="A193" s="5"/>
      <c r="B193" s="194"/>
    </row>
    <row r="194" spans="1:2" x14ac:dyDescent="0.35">
      <c r="A194" s="5"/>
      <c r="B194" s="194"/>
    </row>
    <row r="195" spans="1:2" x14ac:dyDescent="0.35">
      <c r="A195" s="5"/>
      <c r="B195" s="194"/>
    </row>
    <row r="196" spans="1:2" x14ac:dyDescent="0.35">
      <c r="A196" s="5"/>
      <c r="B196" s="194"/>
    </row>
    <row r="197" spans="1:2" x14ac:dyDescent="0.35">
      <c r="A197" s="5"/>
      <c r="B197" s="194"/>
    </row>
    <row r="198" spans="1:2" x14ac:dyDescent="0.35">
      <c r="A198" s="5"/>
      <c r="B198" s="194"/>
    </row>
    <row r="199" spans="1:2" x14ac:dyDescent="0.35">
      <c r="A199" s="5"/>
      <c r="B199" s="194"/>
    </row>
    <row r="200" spans="1:2" x14ac:dyDescent="0.35">
      <c r="A200" s="5"/>
      <c r="B200" s="194"/>
    </row>
    <row r="201" spans="1:2" x14ac:dyDescent="0.35">
      <c r="A201" s="5"/>
      <c r="B201" s="194"/>
    </row>
    <row r="202" spans="1:2" x14ac:dyDescent="0.35">
      <c r="A202" s="5"/>
      <c r="B202" s="194"/>
    </row>
    <row r="203" spans="1:2" x14ac:dyDescent="0.35">
      <c r="A203" s="5"/>
      <c r="B203" s="194"/>
    </row>
    <row r="204" spans="1:2" x14ac:dyDescent="0.35">
      <c r="A204" s="5"/>
      <c r="B204" s="194"/>
    </row>
    <row r="205" spans="1:2" x14ac:dyDescent="0.35">
      <c r="A205" s="5"/>
      <c r="B205" s="194"/>
    </row>
    <row r="206" spans="1:2" x14ac:dyDescent="0.35">
      <c r="A206" s="5"/>
      <c r="B206" s="194"/>
    </row>
    <row r="207" spans="1:2" x14ac:dyDescent="0.35">
      <c r="A207" s="5"/>
      <c r="B207" s="194"/>
    </row>
    <row r="208" spans="1:2" x14ac:dyDescent="0.35">
      <c r="A208" s="5"/>
      <c r="B208" s="194"/>
    </row>
    <row r="209" spans="1:2" x14ac:dyDescent="0.35">
      <c r="A209" s="5"/>
      <c r="B209" s="194"/>
    </row>
    <row r="210" spans="1:2" x14ac:dyDescent="0.35">
      <c r="A210" s="5"/>
      <c r="B210" s="194"/>
    </row>
    <row r="211" spans="1:2" x14ac:dyDescent="0.35">
      <c r="A211" s="5"/>
      <c r="B211" s="194"/>
    </row>
    <row r="212" spans="1:2" x14ac:dyDescent="0.35">
      <c r="A212" s="5"/>
      <c r="B212" s="194"/>
    </row>
    <row r="213" spans="1:2" x14ac:dyDescent="0.35">
      <c r="A213" s="5"/>
      <c r="B213" s="194"/>
    </row>
    <row r="214" spans="1:2" x14ac:dyDescent="0.35">
      <c r="A214" s="5"/>
      <c r="B214" s="194"/>
    </row>
    <row r="215" spans="1:2" x14ac:dyDescent="0.35">
      <c r="A215" s="5"/>
      <c r="B215" s="194"/>
    </row>
    <row r="216" spans="1:2" x14ac:dyDescent="0.35">
      <c r="A216" s="5"/>
      <c r="B216" s="194"/>
    </row>
    <row r="217" spans="1:2" x14ac:dyDescent="0.35">
      <c r="A217" s="5"/>
      <c r="B217" s="194"/>
    </row>
    <row r="218" spans="1:2" x14ac:dyDescent="0.35">
      <c r="A218" s="5"/>
      <c r="B218" s="194"/>
    </row>
    <row r="219" spans="1:2" x14ac:dyDescent="0.35">
      <c r="A219" s="5"/>
      <c r="B219" s="194"/>
    </row>
    <row r="220" spans="1:2" x14ac:dyDescent="0.35">
      <c r="A220" s="5"/>
      <c r="B220" s="194"/>
    </row>
    <row r="221" spans="1:2" x14ac:dyDescent="0.35">
      <c r="A221" s="5"/>
      <c r="B221" s="194"/>
    </row>
    <row r="222" spans="1:2" x14ac:dyDescent="0.35">
      <c r="A222" s="5"/>
      <c r="B222" s="194"/>
    </row>
    <row r="223" spans="1:2" x14ac:dyDescent="0.35">
      <c r="A223" s="5"/>
      <c r="B223" s="194"/>
    </row>
    <row r="224" spans="1:2" x14ac:dyDescent="0.35">
      <c r="A224" s="5"/>
      <c r="B224" s="194"/>
    </row>
    <row r="225" spans="1:2" x14ac:dyDescent="0.35">
      <c r="A225" s="5"/>
      <c r="B225" s="194"/>
    </row>
    <row r="226" spans="1:2" x14ac:dyDescent="0.35">
      <c r="A226" s="5"/>
      <c r="B226" s="194"/>
    </row>
    <row r="227" spans="1:2" x14ac:dyDescent="0.35">
      <c r="A227" s="5"/>
      <c r="B227" s="194"/>
    </row>
    <row r="228" spans="1:2" x14ac:dyDescent="0.35">
      <c r="A228" s="5"/>
      <c r="B228" s="194"/>
    </row>
    <row r="229" spans="1:2" x14ac:dyDescent="0.35">
      <c r="A229" s="5"/>
      <c r="B229" s="194"/>
    </row>
    <row r="230" spans="1:2" x14ac:dyDescent="0.35">
      <c r="A230" s="5"/>
      <c r="B230" s="194"/>
    </row>
    <row r="231" spans="1:2" x14ac:dyDescent="0.35">
      <c r="A231" s="5"/>
      <c r="B231" s="194"/>
    </row>
    <row r="232" spans="1:2" x14ac:dyDescent="0.35">
      <c r="A232" s="5"/>
      <c r="B232" s="194"/>
    </row>
    <row r="233" spans="1:2" x14ac:dyDescent="0.35">
      <c r="A233" s="5"/>
      <c r="B233" s="194"/>
    </row>
    <row r="234" spans="1:2" x14ac:dyDescent="0.35">
      <c r="A234" s="5"/>
      <c r="B234" s="194"/>
    </row>
    <row r="235" spans="1:2" x14ac:dyDescent="0.35">
      <c r="A235" s="5"/>
      <c r="B235" s="194"/>
    </row>
    <row r="236" spans="1:2" x14ac:dyDescent="0.35">
      <c r="A236" s="5"/>
      <c r="B236" s="194"/>
    </row>
    <row r="237" spans="1:2" x14ac:dyDescent="0.35">
      <c r="A237" s="5"/>
      <c r="B237" s="194"/>
    </row>
    <row r="238" spans="1:2" x14ac:dyDescent="0.35">
      <c r="A238" s="5"/>
      <c r="B238" s="194"/>
    </row>
    <row r="239" spans="1:2" x14ac:dyDescent="0.35">
      <c r="A239" s="5"/>
      <c r="B239" s="194"/>
    </row>
    <row r="240" spans="1:2" x14ac:dyDescent="0.35">
      <c r="A240" s="5"/>
      <c r="B240" s="194"/>
    </row>
    <row r="241" spans="1:2" x14ac:dyDescent="0.35">
      <c r="A241" s="5"/>
      <c r="B241" s="194"/>
    </row>
    <row r="242" spans="1:2" x14ac:dyDescent="0.35">
      <c r="A242" s="5"/>
      <c r="B242" s="194"/>
    </row>
    <row r="243" spans="1:2" x14ac:dyDescent="0.35">
      <c r="A243" s="5"/>
      <c r="B243" s="194"/>
    </row>
    <row r="244" spans="1:2" x14ac:dyDescent="0.35">
      <c r="A244" s="5"/>
      <c r="B244" s="194"/>
    </row>
    <row r="245" spans="1:2" x14ac:dyDescent="0.35">
      <c r="A245" s="5"/>
      <c r="B245" s="194"/>
    </row>
    <row r="246" spans="1:2" x14ac:dyDescent="0.35">
      <c r="A246" s="5"/>
      <c r="B246" s="194"/>
    </row>
    <row r="247" spans="1:2" x14ac:dyDescent="0.35">
      <c r="A247" s="5"/>
      <c r="B247" s="194"/>
    </row>
    <row r="248" spans="1:2" x14ac:dyDescent="0.35">
      <c r="A248" s="5"/>
      <c r="B248" s="194"/>
    </row>
    <row r="249" spans="1:2" x14ac:dyDescent="0.35">
      <c r="A249" s="5"/>
      <c r="B249" s="194"/>
    </row>
    <row r="250" spans="1:2" x14ac:dyDescent="0.35">
      <c r="A250" s="5"/>
      <c r="B250" s="194"/>
    </row>
    <row r="251" spans="1:2" x14ac:dyDescent="0.35">
      <c r="A251" s="5"/>
      <c r="B251" s="194"/>
    </row>
    <row r="252" spans="1:2" x14ac:dyDescent="0.35">
      <c r="A252" s="5"/>
      <c r="B252" s="194"/>
    </row>
    <row r="253" spans="1:2" x14ac:dyDescent="0.35">
      <c r="A253" s="5"/>
      <c r="B253" s="194"/>
    </row>
    <row r="254" spans="1:2" x14ac:dyDescent="0.35">
      <c r="A254" s="5"/>
      <c r="B254" s="194"/>
    </row>
    <row r="255" spans="1:2" x14ac:dyDescent="0.35">
      <c r="A255" s="5"/>
      <c r="B255" s="194"/>
    </row>
    <row r="256" spans="1:2" x14ac:dyDescent="0.35">
      <c r="A256" s="5"/>
      <c r="B256" s="194"/>
    </row>
    <row r="257" spans="1:2" x14ac:dyDescent="0.35">
      <c r="A257" s="5"/>
      <c r="B257" s="194"/>
    </row>
    <row r="258" spans="1:2" x14ac:dyDescent="0.35">
      <c r="A258" s="5"/>
      <c r="B258" s="194"/>
    </row>
    <row r="259" spans="1:2" x14ac:dyDescent="0.35">
      <c r="A259" s="5"/>
      <c r="B259" s="194"/>
    </row>
    <row r="260" spans="1:2" x14ac:dyDescent="0.35">
      <c r="A260" s="5"/>
      <c r="B260" s="194"/>
    </row>
    <row r="261" spans="1:2" x14ac:dyDescent="0.35">
      <c r="A261" s="5"/>
      <c r="B261" s="194"/>
    </row>
    <row r="262" spans="1:2" x14ac:dyDescent="0.35">
      <c r="A262" s="5"/>
      <c r="B262" s="194"/>
    </row>
    <row r="263" spans="1:2" x14ac:dyDescent="0.35">
      <c r="A263" s="5"/>
      <c r="B263" s="194"/>
    </row>
    <row r="264" spans="1:2" x14ac:dyDescent="0.35">
      <c r="A264" s="5"/>
      <c r="B264" s="194"/>
    </row>
    <row r="265" spans="1:2" x14ac:dyDescent="0.35">
      <c r="A265" s="5"/>
      <c r="B265" s="194"/>
    </row>
    <row r="266" spans="1:2" x14ac:dyDescent="0.35">
      <c r="A266" s="5"/>
      <c r="B266" s="194"/>
    </row>
    <row r="267" spans="1:2" x14ac:dyDescent="0.35">
      <c r="A267" s="5"/>
      <c r="B267" s="194"/>
    </row>
    <row r="268" spans="1:2" x14ac:dyDescent="0.35">
      <c r="A268" s="5"/>
      <c r="B268" s="194"/>
    </row>
    <row r="269" spans="1:2" x14ac:dyDescent="0.35">
      <c r="A269" s="5"/>
      <c r="B269" s="194"/>
    </row>
    <row r="270" spans="1:2" x14ac:dyDescent="0.35">
      <c r="A270" s="5"/>
      <c r="B270" s="194"/>
    </row>
    <row r="271" spans="1:2" x14ac:dyDescent="0.35">
      <c r="A271" s="5"/>
      <c r="B271" s="194"/>
    </row>
    <row r="272" spans="1:2" x14ac:dyDescent="0.35">
      <c r="A272" s="5"/>
      <c r="B272" s="194"/>
    </row>
    <row r="273" spans="1:2" x14ac:dyDescent="0.35">
      <c r="A273" s="5"/>
      <c r="B273" s="194"/>
    </row>
    <row r="274" spans="1:2" x14ac:dyDescent="0.35">
      <c r="A274" s="5"/>
      <c r="B274" s="194"/>
    </row>
    <row r="275" spans="1:2" x14ac:dyDescent="0.35">
      <c r="A275" s="5"/>
      <c r="B275" s="194"/>
    </row>
    <row r="276" spans="1:2" x14ac:dyDescent="0.35">
      <c r="A276" s="5"/>
      <c r="B276" s="194"/>
    </row>
    <row r="277" spans="1:2" x14ac:dyDescent="0.35">
      <c r="A277" s="5"/>
      <c r="B277" s="194"/>
    </row>
    <row r="278" spans="1:2" x14ac:dyDescent="0.35">
      <c r="A278" s="5"/>
      <c r="B278" s="194"/>
    </row>
    <row r="279" spans="1:2" x14ac:dyDescent="0.35">
      <c r="A279" s="5"/>
      <c r="B279" s="194"/>
    </row>
    <row r="280" spans="1:2" x14ac:dyDescent="0.35">
      <c r="A280" s="5"/>
      <c r="B280" s="194"/>
    </row>
    <row r="281" spans="1:2" x14ac:dyDescent="0.35">
      <c r="A281" s="5"/>
      <c r="B281" s="194"/>
    </row>
    <row r="282" spans="1:2" x14ac:dyDescent="0.35">
      <c r="A282" s="5"/>
      <c r="B282" s="194"/>
    </row>
    <row r="283" spans="1:2" x14ac:dyDescent="0.35">
      <c r="A283" s="5"/>
      <c r="B283" s="194"/>
    </row>
    <row r="284" spans="1:2" x14ac:dyDescent="0.35">
      <c r="A284" s="5"/>
      <c r="B284" s="194"/>
    </row>
    <row r="285" spans="1:2" x14ac:dyDescent="0.35">
      <c r="A285" s="5"/>
      <c r="B285" s="194"/>
    </row>
    <row r="286" spans="1:2" x14ac:dyDescent="0.35">
      <c r="A286" s="5"/>
      <c r="B286" s="194"/>
    </row>
    <row r="287" spans="1:2" x14ac:dyDescent="0.35">
      <c r="A287" s="5"/>
      <c r="B287" s="194"/>
    </row>
    <row r="288" spans="1:2" x14ac:dyDescent="0.35">
      <c r="A288" s="5"/>
      <c r="B288" s="194"/>
    </row>
    <row r="289" spans="1:2" x14ac:dyDescent="0.35">
      <c r="A289" s="5"/>
      <c r="B289" s="194"/>
    </row>
    <row r="290" spans="1:2" x14ac:dyDescent="0.35">
      <c r="A290" s="5"/>
      <c r="B290" s="194"/>
    </row>
    <row r="291" spans="1:2" x14ac:dyDescent="0.35">
      <c r="A291" s="5"/>
      <c r="B291" s="194"/>
    </row>
    <row r="292" spans="1:2" x14ac:dyDescent="0.35">
      <c r="A292" s="5"/>
      <c r="B292" s="194"/>
    </row>
    <row r="293" spans="1:2" x14ac:dyDescent="0.35">
      <c r="A293" s="5"/>
      <c r="B293" s="194"/>
    </row>
    <row r="294" spans="1:2" x14ac:dyDescent="0.35">
      <c r="A294" s="5"/>
      <c r="B294" s="194"/>
    </row>
    <row r="295" spans="1:2" x14ac:dyDescent="0.35">
      <c r="A295" s="5"/>
      <c r="B295" s="194"/>
    </row>
    <row r="296" spans="1:2" x14ac:dyDescent="0.35">
      <c r="A296" s="5"/>
      <c r="B296" s="194"/>
    </row>
    <row r="297" spans="1:2" x14ac:dyDescent="0.35">
      <c r="A297" s="5"/>
      <c r="B297" s="194"/>
    </row>
    <row r="298" spans="1:2" x14ac:dyDescent="0.35">
      <c r="A298" s="5"/>
      <c r="B298" s="194"/>
    </row>
    <row r="299" spans="1:2" x14ac:dyDescent="0.35">
      <c r="A299" s="5"/>
      <c r="B299" s="194"/>
    </row>
    <row r="300" spans="1:2" x14ac:dyDescent="0.35">
      <c r="A300" s="5"/>
      <c r="B300" s="194"/>
    </row>
    <row r="301" spans="1:2" x14ac:dyDescent="0.35">
      <c r="A301" s="5"/>
      <c r="B301" s="194"/>
    </row>
    <row r="302" spans="1:2" x14ac:dyDescent="0.35">
      <c r="A302" s="5"/>
      <c r="B302" s="194"/>
    </row>
    <row r="303" spans="1:2" x14ac:dyDescent="0.35">
      <c r="A303" s="5"/>
      <c r="B303" s="194"/>
    </row>
    <row r="304" spans="1:2" x14ac:dyDescent="0.35">
      <c r="A304" s="5"/>
      <c r="B304" s="194"/>
    </row>
    <row r="305" spans="1:2" x14ac:dyDescent="0.35">
      <c r="A305" s="5"/>
      <c r="B305" s="194"/>
    </row>
    <row r="306" spans="1:2" x14ac:dyDescent="0.35">
      <c r="A306" s="5"/>
      <c r="B306" s="194"/>
    </row>
    <row r="307" spans="1:2" x14ac:dyDescent="0.35">
      <c r="A307" s="5"/>
      <c r="B307" s="194"/>
    </row>
    <row r="308" spans="1:2" x14ac:dyDescent="0.35">
      <c r="A308" s="5"/>
      <c r="B308" s="194"/>
    </row>
    <row r="309" spans="1:2" x14ac:dyDescent="0.35">
      <c r="A309" s="5"/>
      <c r="B309" s="194"/>
    </row>
    <row r="310" spans="1:2" x14ac:dyDescent="0.35">
      <c r="A310" s="5"/>
      <c r="B310" s="194"/>
    </row>
    <row r="311" spans="1:2" x14ac:dyDescent="0.35">
      <c r="A311" s="5"/>
      <c r="B311" s="194"/>
    </row>
    <row r="312" spans="1:2" x14ac:dyDescent="0.35">
      <c r="A312" s="5"/>
      <c r="B312" s="194"/>
    </row>
    <row r="313" spans="1:2" x14ac:dyDescent="0.35">
      <c r="A313" s="5"/>
      <c r="B313" s="194"/>
    </row>
    <row r="314" spans="1:2" x14ac:dyDescent="0.35">
      <c r="A314" s="5"/>
      <c r="B314" s="194"/>
    </row>
    <row r="315" spans="1:2" x14ac:dyDescent="0.35">
      <c r="A315" s="5"/>
      <c r="B315" s="194"/>
    </row>
    <row r="316" spans="1:2" x14ac:dyDescent="0.35">
      <c r="A316" s="5"/>
      <c r="B316" s="194"/>
    </row>
    <row r="317" spans="1:2" x14ac:dyDescent="0.35">
      <c r="A317" s="5"/>
      <c r="B317" s="194"/>
    </row>
    <row r="318" spans="1:2" x14ac:dyDescent="0.35">
      <c r="A318" s="5"/>
      <c r="B318" s="194"/>
    </row>
    <row r="319" spans="1:2" x14ac:dyDescent="0.35">
      <c r="A319" s="5"/>
      <c r="B319" s="194"/>
    </row>
    <row r="320" spans="1:2" x14ac:dyDescent="0.35">
      <c r="A320" s="5"/>
      <c r="B320" s="194"/>
    </row>
    <row r="321" spans="1:2" x14ac:dyDescent="0.35">
      <c r="A321" s="5"/>
      <c r="B321" s="194"/>
    </row>
    <row r="322" spans="1:2" x14ac:dyDescent="0.35">
      <c r="A322" s="5"/>
      <c r="B322" s="194"/>
    </row>
    <row r="323" spans="1:2" x14ac:dyDescent="0.35">
      <c r="A323" s="5"/>
      <c r="B323" s="194"/>
    </row>
    <row r="324" spans="1:2" x14ac:dyDescent="0.35">
      <c r="A324" s="5"/>
      <c r="B324" s="194"/>
    </row>
    <row r="325" spans="1:2" x14ac:dyDescent="0.35">
      <c r="A325" s="5"/>
      <c r="B325" s="194"/>
    </row>
    <row r="326" spans="1:2" x14ac:dyDescent="0.35">
      <c r="A326" s="5"/>
      <c r="B326" s="194"/>
    </row>
    <row r="327" spans="1:2" x14ac:dyDescent="0.35">
      <c r="A327" s="5"/>
      <c r="B327" s="194"/>
    </row>
    <row r="328" spans="1:2" x14ac:dyDescent="0.35">
      <c r="A328" s="5"/>
      <c r="B328" s="194"/>
    </row>
    <row r="329" spans="1:2" x14ac:dyDescent="0.35">
      <c r="A329" s="5"/>
      <c r="B329" s="194"/>
    </row>
    <row r="330" spans="1:2" x14ac:dyDescent="0.35">
      <c r="A330" s="5"/>
      <c r="B330" s="194"/>
    </row>
    <row r="331" spans="1:2" x14ac:dyDescent="0.35">
      <c r="A331" s="5"/>
      <c r="B331" s="194"/>
    </row>
    <row r="332" spans="1:2" x14ac:dyDescent="0.35">
      <c r="A332" s="5"/>
      <c r="B332" s="194"/>
    </row>
    <row r="333" spans="1:2" x14ac:dyDescent="0.35">
      <c r="A333" s="5"/>
      <c r="B333" s="194"/>
    </row>
    <row r="334" spans="1:2" x14ac:dyDescent="0.35">
      <c r="A334" s="5"/>
      <c r="B334" s="194"/>
    </row>
    <row r="335" spans="1:2" x14ac:dyDescent="0.35">
      <c r="A335" s="5"/>
      <c r="B335" s="194"/>
    </row>
    <row r="336" spans="1:2" x14ac:dyDescent="0.35">
      <c r="A336" s="5"/>
      <c r="B336" s="194"/>
    </row>
    <row r="337" spans="1:2" x14ac:dyDescent="0.35">
      <c r="A337" s="5"/>
      <c r="B337" s="194"/>
    </row>
    <row r="338" spans="1:2" x14ac:dyDescent="0.35">
      <c r="A338" s="5"/>
      <c r="B338" s="194"/>
    </row>
    <row r="339" spans="1:2" x14ac:dyDescent="0.35">
      <c r="A339" s="5"/>
      <c r="B339" s="194"/>
    </row>
    <row r="340" spans="1:2" x14ac:dyDescent="0.35">
      <c r="A340" s="5"/>
      <c r="B340" s="194"/>
    </row>
    <row r="341" spans="1:2" x14ac:dyDescent="0.35">
      <c r="A341" s="5"/>
      <c r="B341" s="194"/>
    </row>
    <row r="342" spans="1:2" x14ac:dyDescent="0.35">
      <c r="A342" s="5"/>
      <c r="B342" s="194"/>
    </row>
    <row r="343" spans="1:2" x14ac:dyDescent="0.35">
      <c r="A343" s="5"/>
      <c r="B343" s="194"/>
    </row>
    <row r="344" spans="1:2" x14ac:dyDescent="0.35">
      <c r="A344" s="5"/>
      <c r="B344" s="194"/>
    </row>
    <row r="345" spans="1:2" x14ac:dyDescent="0.35">
      <c r="A345" s="5"/>
      <c r="B345" s="194"/>
    </row>
    <row r="346" spans="1:2" x14ac:dyDescent="0.35">
      <c r="A346" s="5"/>
      <c r="B346" s="194"/>
    </row>
    <row r="347" spans="1:2" x14ac:dyDescent="0.35">
      <c r="A347" s="5"/>
      <c r="B347" s="194"/>
    </row>
    <row r="348" spans="1:2" x14ac:dyDescent="0.35">
      <c r="A348" s="5"/>
      <c r="B348" s="194"/>
    </row>
    <row r="349" spans="1:2" x14ac:dyDescent="0.35">
      <c r="A349" s="5"/>
      <c r="B349" s="194"/>
    </row>
    <row r="350" spans="1:2" x14ac:dyDescent="0.35">
      <c r="A350" s="5"/>
      <c r="B350" s="194"/>
    </row>
    <row r="351" spans="1:2" x14ac:dyDescent="0.35">
      <c r="A351" s="5"/>
      <c r="B351" s="194"/>
    </row>
    <row r="352" spans="1:2" x14ac:dyDescent="0.35">
      <c r="A352" s="5"/>
      <c r="B352" s="194"/>
    </row>
    <row r="353" spans="1:2" x14ac:dyDescent="0.35">
      <c r="A353" s="5"/>
      <c r="B353" s="194"/>
    </row>
    <row r="354" spans="1:2" x14ac:dyDescent="0.35">
      <c r="A354" s="5"/>
      <c r="B354" s="194"/>
    </row>
    <row r="355" spans="1:2" x14ac:dyDescent="0.35">
      <c r="A355" s="5"/>
      <c r="B355" s="194"/>
    </row>
    <row r="356" spans="1:2" x14ac:dyDescent="0.35">
      <c r="A356" s="5"/>
      <c r="B356" s="194"/>
    </row>
    <row r="357" spans="1:2" x14ac:dyDescent="0.35">
      <c r="A357" s="5"/>
      <c r="B357" s="194"/>
    </row>
    <row r="358" spans="1:2" x14ac:dyDescent="0.35">
      <c r="A358" s="5"/>
      <c r="B358" s="194"/>
    </row>
    <row r="359" spans="1:2" x14ac:dyDescent="0.35">
      <c r="A359" s="5"/>
      <c r="B359" s="194"/>
    </row>
    <row r="360" spans="1:2" x14ac:dyDescent="0.35">
      <c r="A360" s="5"/>
      <c r="B360" s="194"/>
    </row>
    <row r="361" spans="1:2" x14ac:dyDescent="0.35">
      <c r="A361" s="5"/>
      <c r="B361" s="194"/>
    </row>
    <row r="362" spans="1:2" x14ac:dyDescent="0.35">
      <c r="A362" s="5"/>
      <c r="B362" s="194"/>
    </row>
    <row r="363" spans="1:2" x14ac:dyDescent="0.35">
      <c r="A363" s="5"/>
      <c r="B363" s="194"/>
    </row>
    <row r="364" spans="1:2" x14ac:dyDescent="0.35">
      <c r="A364" s="5"/>
      <c r="B364" s="194"/>
    </row>
    <row r="365" spans="1:2" x14ac:dyDescent="0.35">
      <c r="A365" s="5"/>
      <c r="B365" s="194"/>
    </row>
    <row r="366" spans="1:2" x14ac:dyDescent="0.35">
      <c r="A366" s="5"/>
      <c r="B366" s="194"/>
    </row>
    <row r="367" spans="1:2" x14ac:dyDescent="0.35">
      <c r="A367" s="5"/>
      <c r="B367" s="194"/>
    </row>
    <row r="368" spans="1:2" x14ac:dyDescent="0.35">
      <c r="A368" s="5"/>
      <c r="B368" s="194"/>
    </row>
    <row r="369" spans="1:2" x14ac:dyDescent="0.35">
      <c r="A369" s="5"/>
      <c r="B369" s="194"/>
    </row>
    <row r="370" spans="1:2" x14ac:dyDescent="0.35">
      <c r="A370" s="5"/>
      <c r="B370" s="194"/>
    </row>
    <row r="371" spans="1:2" x14ac:dyDescent="0.35">
      <c r="A371" s="5"/>
      <c r="B371" s="194"/>
    </row>
    <row r="372" spans="1:2" x14ac:dyDescent="0.35">
      <c r="A372" s="5"/>
      <c r="B372" s="194"/>
    </row>
    <row r="373" spans="1:2" x14ac:dyDescent="0.35">
      <c r="A373" s="5"/>
      <c r="B373" s="194"/>
    </row>
    <row r="374" spans="1:2" x14ac:dyDescent="0.35">
      <c r="A374" s="5"/>
      <c r="B374" s="194"/>
    </row>
    <row r="375" spans="1:2" x14ac:dyDescent="0.35">
      <c r="A375" s="5"/>
      <c r="B375" s="194"/>
    </row>
    <row r="376" spans="1:2" x14ac:dyDescent="0.35">
      <c r="A376" s="5"/>
      <c r="B376" s="194"/>
    </row>
    <row r="377" spans="1:2" x14ac:dyDescent="0.35">
      <c r="A377" s="5"/>
      <c r="B377" s="194"/>
    </row>
    <row r="378" spans="1:2" x14ac:dyDescent="0.35">
      <c r="A378" s="5"/>
      <c r="B378" s="194"/>
    </row>
    <row r="379" spans="1:2" x14ac:dyDescent="0.35">
      <c r="A379" s="5"/>
      <c r="B379" s="194"/>
    </row>
    <row r="380" spans="1:2" x14ac:dyDescent="0.35">
      <c r="A380" s="5"/>
      <c r="B380" s="194"/>
    </row>
    <row r="381" spans="1:2" x14ac:dyDescent="0.35">
      <c r="A381" s="5"/>
      <c r="B381" s="194"/>
    </row>
    <row r="382" spans="1:2" x14ac:dyDescent="0.35">
      <c r="A382" s="5"/>
      <c r="B382" s="194"/>
    </row>
    <row r="383" spans="1:2" x14ac:dyDescent="0.35">
      <c r="A383" s="5"/>
      <c r="B383" s="194"/>
    </row>
    <row r="384" spans="1:2" x14ac:dyDescent="0.35">
      <c r="A384" s="5"/>
      <c r="B384" s="194"/>
    </row>
    <row r="385" spans="1:2" x14ac:dyDescent="0.35">
      <c r="A385" s="5"/>
      <c r="B385" s="194"/>
    </row>
    <row r="386" spans="1:2" x14ac:dyDescent="0.35">
      <c r="A386" s="5"/>
      <c r="B386" s="194"/>
    </row>
    <row r="387" spans="1:2" x14ac:dyDescent="0.35">
      <c r="A387" s="5"/>
      <c r="B387" s="194"/>
    </row>
    <row r="388" spans="1:2" x14ac:dyDescent="0.35">
      <c r="A388" s="5"/>
      <c r="B388" s="194"/>
    </row>
    <row r="389" spans="1:2" x14ac:dyDescent="0.35">
      <c r="A389" s="5"/>
      <c r="B389" s="194"/>
    </row>
    <row r="390" spans="1:2" x14ac:dyDescent="0.35">
      <c r="A390" s="5"/>
      <c r="B390" s="194"/>
    </row>
    <row r="391" spans="1:2" x14ac:dyDescent="0.35">
      <c r="A391" s="5"/>
      <c r="B391" s="194"/>
    </row>
    <row r="392" spans="1:2" x14ac:dyDescent="0.35">
      <c r="A392" s="5"/>
      <c r="B392" s="194"/>
    </row>
    <row r="393" spans="1:2" x14ac:dyDescent="0.35">
      <c r="A393" s="5"/>
      <c r="B393" s="194"/>
    </row>
    <row r="394" spans="1:2" x14ac:dyDescent="0.35">
      <c r="A394" s="5"/>
      <c r="B394" s="194"/>
    </row>
    <row r="395" spans="1:2" x14ac:dyDescent="0.35">
      <c r="A395" s="5"/>
      <c r="B395" s="194"/>
    </row>
    <row r="396" spans="1:2" x14ac:dyDescent="0.35">
      <c r="A396" s="5"/>
      <c r="B396" s="194"/>
    </row>
    <row r="397" spans="1:2" x14ac:dyDescent="0.35">
      <c r="A397" s="5"/>
      <c r="B397" s="194"/>
    </row>
    <row r="398" spans="1:2" x14ac:dyDescent="0.35">
      <c r="A398" s="5"/>
      <c r="B398" s="194"/>
    </row>
    <row r="399" spans="1:2" x14ac:dyDescent="0.35">
      <c r="A399" s="5"/>
      <c r="B399" s="194"/>
    </row>
    <row r="400" spans="1:2" x14ac:dyDescent="0.35">
      <c r="A400" s="5"/>
      <c r="B400" s="194"/>
    </row>
    <row r="401" spans="1:2" x14ac:dyDescent="0.35">
      <c r="A401" s="5"/>
      <c r="B401" s="194"/>
    </row>
    <row r="402" spans="1:2" x14ac:dyDescent="0.35">
      <c r="A402" s="5"/>
      <c r="B402" s="194"/>
    </row>
    <row r="403" spans="1:2" x14ac:dyDescent="0.35">
      <c r="A403" s="5"/>
      <c r="B403" s="194"/>
    </row>
    <row r="404" spans="1:2" x14ac:dyDescent="0.35">
      <c r="A404" s="5"/>
      <c r="B404" s="194"/>
    </row>
    <row r="405" spans="1:2" x14ac:dyDescent="0.35">
      <c r="A405" s="5"/>
      <c r="B405" s="194"/>
    </row>
    <row r="406" spans="1:2" x14ac:dyDescent="0.35">
      <c r="A406" s="5"/>
      <c r="B406" s="194"/>
    </row>
    <row r="407" spans="1:2" x14ac:dyDescent="0.35">
      <c r="A407" s="5"/>
      <c r="B407" s="194"/>
    </row>
    <row r="408" spans="1:2" x14ac:dyDescent="0.35">
      <c r="A408" s="5"/>
      <c r="B408" s="194"/>
    </row>
    <row r="409" spans="1:2" x14ac:dyDescent="0.35">
      <c r="A409" s="5"/>
      <c r="B409" s="194"/>
    </row>
    <row r="410" spans="1:2" x14ac:dyDescent="0.35">
      <c r="A410" s="5"/>
      <c r="B410" s="194"/>
    </row>
    <row r="411" spans="1:2" x14ac:dyDescent="0.35">
      <c r="A411" s="5"/>
      <c r="B411" s="194"/>
    </row>
    <row r="412" spans="1:2" x14ac:dyDescent="0.35">
      <c r="A412" s="5"/>
      <c r="B412" s="194"/>
    </row>
    <row r="413" spans="1:2" x14ac:dyDescent="0.35">
      <c r="A413" s="5"/>
      <c r="B413" s="194"/>
    </row>
    <row r="414" spans="1:2" x14ac:dyDescent="0.35">
      <c r="A414" s="5"/>
      <c r="B414" s="194"/>
    </row>
    <row r="415" spans="1:2" x14ac:dyDescent="0.35">
      <c r="A415" s="5"/>
      <c r="B415" s="194"/>
    </row>
    <row r="416" spans="1:2" x14ac:dyDescent="0.35">
      <c r="A416" s="5"/>
      <c r="B416" s="194"/>
    </row>
    <row r="417" spans="1:2" x14ac:dyDescent="0.35">
      <c r="A417" s="5"/>
      <c r="B417" s="194"/>
    </row>
    <row r="418" spans="1:2" x14ac:dyDescent="0.35">
      <c r="A418" s="5"/>
      <c r="B418" s="194"/>
    </row>
    <row r="419" spans="1:2" x14ac:dyDescent="0.35">
      <c r="A419" s="5"/>
      <c r="B419" s="194"/>
    </row>
    <row r="420" spans="1:2" x14ac:dyDescent="0.35">
      <c r="A420" s="5"/>
      <c r="B420" s="194"/>
    </row>
    <row r="421" spans="1:2" x14ac:dyDescent="0.35">
      <c r="A421" s="5"/>
      <c r="B421" s="194"/>
    </row>
    <row r="422" spans="1:2" x14ac:dyDescent="0.35">
      <c r="A422" s="5"/>
      <c r="B422" s="194"/>
    </row>
    <row r="423" spans="1:2" x14ac:dyDescent="0.35">
      <c r="A423" s="5"/>
      <c r="B423" s="194"/>
    </row>
    <row r="424" spans="1:2" x14ac:dyDescent="0.35">
      <c r="A424" s="5"/>
      <c r="B424" s="194"/>
    </row>
    <row r="425" spans="1:2" x14ac:dyDescent="0.35">
      <c r="A425" s="5"/>
      <c r="B425" s="194"/>
    </row>
    <row r="426" spans="1:2" x14ac:dyDescent="0.35">
      <c r="A426" s="5"/>
      <c r="B426" s="194"/>
    </row>
    <row r="427" spans="1:2" x14ac:dyDescent="0.35">
      <c r="A427" s="5"/>
      <c r="B427" s="194"/>
    </row>
    <row r="428" spans="1:2" x14ac:dyDescent="0.35">
      <c r="A428" s="5"/>
      <c r="B428" s="194"/>
    </row>
    <row r="429" spans="1:2" x14ac:dyDescent="0.35">
      <c r="A429" s="5"/>
      <c r="B429" s="194"/>
    </row>
    <row r="430" spans="1:2" x14ac:dyDescent="0.35">
      <c r="A430" s="5"/>
      <c r="B430" s="194"/>
    </row>
    <row r="431" spans="1:2" x14ac:dyDescent="0.35">
      <c r="A431" s="5"/>
      <c r="B431" s="194"/>
    </row>
    <row r="432" spans="1:2" x14ac:dyDescent="0.35">
      <c r="A432" s="5"/>
      <c r="B432" s="194"/>
    </row>
    <row r="433" spans="1:2" x14ac:dyDescent="0.35">
      <c r="A433" s="5"/>
      <c r="B433" s="194"/>
    </row>
    <row r="434" spans="1:2" x14ac:dyDescent="0.35">
      <c r="A434" s="5"/>
      <c r="B434" s="194"/>
    </row>
    <row r="435" spans="1:2" x14ac:dyDescent="0.35">
      <c r="A435" s="5"/>
      <c r="B435" s="194"/>
    </row>
    <row r="436" spans="1:2" x14ac:dyDescent="0.35">
      <c r="A436" s="5"/>
      <c r="B436" s="194"/>
    </row>
    <row r="437" spans="1:2" x14ac:dyDescent="0.35">
      <c r="A437" s="5"/>
      <c r="B437" s="194"/>
    </row>
    <row r="438" spans="1:2" x14ac:dyDescent="0.35">
      <c r="A438" s="5"/>
      <c r="B438" s="194"/>
    </row>
    <row r="439" spans="1:2" x14ac:dyDescent="0.35">
      <c r="A439" s="5"/>
      <c r="B439" s="194"/>
    </row>
    <row r="440" spans="1:2" x14ac:dyDescent="0.35">
      <c r="A440" s="5"/>
      <c r="B440" s="194"/>
    </row>
    <row r="441" spans="1:2" x14ac:dyDescent="0.35">
      <c r="A441" s="5"/>
      <c r="B441" s="194"/>
    </row>
    <row r="442" spans="1:2" x14ac:dyDescent="0.35">
      <c r="A442" s="5"/>
      <c r="B442" s="194"/>
    </row>
    <row r="443" spans="1:2" x14ac:dyDescent="0.35">
      <c r="A443" s="5"/>
      <c r="B443" s="194"/>
    </row>
    <row r="444" spans="1:2" x14ac:dyDescent="0.35">
      <c r="A444" s="5"/>
      <c r="B444" s="194"/>
    </row>
    <row r="445" spans="1:2" x14ac:dyDescent="0.35">
      <c r="A445" s="5"/>
      <c r="B445" s="194"/>
    </row>
    <row r="446" spans="1:2" x14ac:dyDescent="0.35">
      <c r="A446" s="5"/>
      <c r="B446" s="194"/>
    </row>
    <row r="447" spans="1:2" x14ac:dyDescent="0.35">
      <c r="A447" s="5"/>
      <c r="B447" s="194"/>
    </row>
    <row r="448" spans="1:2" x14ac:dyDescent="0.35">
      <c r="A448" s="5"/>
      <c r="B448" s="194"/>
    </row>
    <row r="449" spans="1:2" x14ac:dyDescent="0.35">
      <c r="A449" s="5"/>
      <c r="B449" s="194"/>
    </row>
    <row r="450" spans="1:2" x14ac:dyDescent="0.35">
      <c r="A450" s="5"/>
      <c r="B450" s="194"/>
    </row>
    <row r="451" spans="1:2" x14ac:dyDescent="0.35">
      <c r="A451" s="5"/>
      <c r="B451" s="194"/>
    </row>
    <row r="452" spans="1:2" x14ac:dyDescent="0.35">
      <c r="A452" s="5"/>
      <c r="B452" s="194"/>
    </row>
    <row r="453" spans="1:2" x14ac:dyDescent="0.35">
      <c r="A453" s="5"/>
      <c r="B453" s="194"/>
    </row>
    <row r="454" spans="1:2" x14ac:dyDescent="0.35">
      <c r="A454" s="5"/>
      <c r="B454" s="194"/>
    </row>
    <row r="455" spans="1:2" x14ac:dyDescent="0.35">
      <c r="A455" s="5"/>
      <c r="B455" s="194"/>
    </row>
    <row r="456" spans="1:2" x14ac:dyDescent="0.35">
      <c r="A456" s="5"/>
      <c r="B456" s="194"/>
    </row>
    <row r="457" spans="1:2" x14ac:dyDescent="0.35">
      <c r="A457" s="5"/>
      <c r="B457" s="194"/>
    </row>
    <row r="458" spans="1:2" x14ac:dyDescent="0.35">
      <c r="A458" s="5"/>
      <c r="B458" s="194"/>
    </row>
    <row r="459" spans="1:2" x14ac:dyDescent="0.35">
      <c r="A459" s="5"/>
      <c r="B459" s="194"/>
    </row>
    <row r="460" spans="1:2" x14ac:dyDescent="0.35">
      <c r="A460" s="5"/>
      <c r="B460" s="194"/>
    </row>
    <row r="461" spans="1:2" x14ac:dyDescent="0.35">
      <c r="A461" s="5"/>
      <c r="B461" s="194"/>
    </row>
    <row r="462" spans="1:2" x14ac:dyDescent="0.35">
      <c r="A462" s="5"/>
      <c r="B462" s="194"/>
    </row>
    <row r="463" spans="1:2" x14ac:dyDescent="0.35">
      <c r="A463" s="5"/>
      <c r="B463" s="194"/>
    </row>
    <row r="464" spans="1:2" x14ac:dyDescent="0.35">
      <c r="A464" s="5"/>
      <c r="B464" s="194"/>
    </row>
    <row r="465" spans="1:2" x14ac:dyDescent="0.35">
      <c r="A465" s="5"/>
      <c r="B465" s="194"/>
    </row>
    <row r="466" spans="1:2" x14ac:dyDescent="0.35">
      <c r="A466" s="5"/>
      <c r="B466" s="194"/>
    </row>
    <row r="467" spans="1:2" x14ac:dyDescent="0.35">
      <c r="A467" s="5"/>
      <c r="B467" s="194"/>
    </row>
    <row r="468" spans="1:2" x14ac:dyDescent="0.35">
      <c r="A468" s="5"/>
      <c r="B468" s="194"/>
    </row>
    <row r="469" spans="1:2" x14ac:dyDescent="0.35">
      <c r="A469" s="5"/>
      <c r="B469" s="194"/>
    </row>
    <row r="470" spans="1:2" x14ac:dyDescent="0.35">
      <c r="A470" s="5"/>
      <c r="B470" s="194"/>
    </row>
    <row r="471" spans="1:2" x14ac:dyDescent="0.35">
      <c r="A471" s="5"/>
      <c r="B471" s="194"/>
    </row>
    <row r="472" spans="1:2" x14ac:dyDescent="0.35">
      <c r="A472" s="5"/>
      <c r="B472" s="194"/>
    </row>
    <row r="473" spans="1:2" x14ac:dyDescent="0.35">
      <c r="A473" s="5"/>
      <c r="B473" s="194"/>
    </row>
    <row r="474" spans="1:2" x14ac:dyDescent="0.35">
      <c r="A474" s="5"/>
      <c r="B474" s="194"/>
    </row>
    <row r="475" spans="1:2" x14ac:dyDescent="0.35">
      <c r="A475" s="5"/>
      <c r="B475" s="194"/>
    </row>
    <row r="476" spans="1:2" x14ac:dyDescent="0.35">
      <c r="A476" s="5"/>
      <c r="B476" s="194"/>
    </row>
    <row r="477" spans="1:2" x14ac:dyDescent="0.35">
      <c r="A477" s="5"/>
      <c r="B477" s="194"/>
    </row>
    <row r="478" spans="1:2" x14ac:dyDescent="0.35">
      <c r="A478" s="5"/>
      <c r="B478" s="194"/>
    </row>
  </sheetData>
  <autoFilter ref="A1:E478"/>
  <dataValidations count="1">
    <dataValidation allowBlank="1" showInputMessage="1" showErrorMessage="1" promptTitle="Web tool" prompt="Use this tool to populate Impacted System's with thier correct names" sqref="D1"/>
  </dataValidations>
  <hyperlinks>
    <hyperlink ref="D1" r:id="rId1"/>
  </hyperlinks>
  <pageMargins left="0.7" right="0.7" top="0.75" bottom="0.75" header="0.3" footer="0.3"/>
  <pageSetup orientation="portrait"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RDConvertSheet">
    <tabColor theme="4" tint="0.59999389629810485"/>
  </sheetPr>
  <dimension ref="A1:Q2"/>
  <sheetViews>
    <sheetView workbookViewId="0">
      <pane ySplit="2" topLeftCell="A3" activePane="bottomLeft" state="frozenSplit"/>
      <selection pane="bottomLeft" activeCell="A2" sqref="A2"/>
    </sheetView>
  </sheetViews>
  <sheetFormatPr defaultColWidth="17.1796875" defaultRowHeight="14.5" x14ac:dyDescent="0.35"/>
  <cols>
    <col min="1" max="4" width="17.1796875" style="22"/>
    <col min="5" max="5" width="19.54296875" style="22" customWidth="1"/>
    <col min="6" max="7" width="17.1796875" style="22"/>
    <col min="8" max="8" width="22.26953125" style="22" customWidth="1"/>
    <col min="9" max="16384" width="17.1796875" style="22"/>
  </cols>
  <sheetData>
    <row r="1" spans="1:17" s="98" customFormat="1" ht="54" customHeight="1" thickBot="1" x14ac:dyDescent="0.4">
      <c r="A1" s="279" t="s">
        <v>567</v>
      </c>
      <c r="B1" s="280"/>
      <c r="C1" s="280"/>
      <c r="D1" s="280"/>
      <c r="E1" s="280"/>
      <c r="F1" s="280"/>
      <c r="G1" s="280"/>
      <c r="H1" s="280"/>
      <c r="I1" s="280"/>
      <c r="J1" s="280"/>
    </row>
    <row r="2" spans="1:17" s="95" customFormat="1" x14ac:dyDescent="0.35">
      <c r="A2" s="96"/>
      <c r="B2" s="94"/>
      <c r="C2" s="94"/>
      <c r="D2" s="94"/>
      <c r="E2" s="94"/>
      <c r="F2" s="94"/>
      <c r="G2" s="94"/>
      <c r="H2" s="94"/>
      <c r="I2" s="94"/>
      <c r="J2" s="94"/>
      <c r="K2" s="94"/>
      <c r="L2" s="94"/>
      <c r="M2" s="94"/>
      <c r="N2" s="94"/>
      <c r="O2" s="94"/>
      <c r="P2" s="94"/>
      <c r="Q2" s="97"/>
    </row>
  </sheetData>
  <mergeCells count="1">
    <mergeCell ref="A1:J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BASheet">
    <tabColor theme="2" tint="-0.249977111117893"/>
  </sheetPr>
  <dimension ref="A1:L87"/>
  <sheetViews>
    <sheetView zoomScale="89" zoomScaleNormal="89" workbookViewId="0">
      <pane xSplit="6" ySplit="1" topLeftCell="I44" activePane="bottomRight" state="frozen"/>
      <selection pane="topRight" activeCell="B1" sqref="B1"/>
      <selection pane="bottomLeft" activeCell="A2" sqref="A2"/>
      <selection pane="bottomRight" activeCell="G5" sqref="G5"/>
    </sheetView>
  </sheetViews>
  <sheetFormatPr defaultColWidth="9.1796875" defaultRowHeight="14.5" x14ac:dyDescent="0.35"/>
  <cols>
    <col min="1" max="1" width="12.26953125" style="10" customWidth="1"/>
    <col min="2" max="2" width="21.26953125" style="5" customWidth="1"/>
    <col min="3" max="3" width="11.26953125" style="10" customWidth="1"/>
    <col min="4" max="4" width="18.7265625" style="5" customWidth="1"/>
    <col min="5" max="5" width="38.1796875" style="5" customWidth="1"/>
    <col min="6" max="6" width="12" style="10" customWidth="1"/>
    <col min="7" max="7" width="41.54296875" style="10" customWidth="1"/>
    <col min="8" max="8" width="19.7265625" style="10" customWidth="1"/>
    <col min="9" max="9" width="23.81640625" style="10" customWidth="1"/>
    <col min="10" max="10" width="38.1796875" style="5" customWidth="1"/>
    <col min="11" max="11" width="68.26953125" style="5" customWidth="1"/>
    <col min="12" max="12" width="18.7265625" style="10" customWidth="1"/>
    <col min="13" max="16384" width="9.1796875" style="10"/>
  </cols>
  <sheetData>
    <row r="1" spans="1:12" s="1" customFormat="1" x14ac:dyDescent="0.35">
      <c r="A1" s="40" t="s">
        <v>113</v>
      </c>
      <c r="B1" s="41" t="s">
        <v>114</v>
      </c>
      <c r="C1" s="40" t="s">
        <v>115</v>
      </c>
      <c r="D1" s="41" t="s">
        <v>116</v>
      </c>
      <c r="E1" s="41" t="s">
        <v>452</v>
      </c>
      <c r="F1" s="41" t="s">
        <v>117</v>
      </c>
      <c r="G1" s="41" t="s">
        <v>118</v>
      </c>
      <c r="H1" s="41" t="s">
        <v>119</v>
      </c>
      <c r="I1" s="41" t="s">
        <v>120</v>
      </c>
      <c r="J1" s="41" t="s">
        <v>451</v>
      </c>
      <c r="K1" s="41" t="s">
        <v>2</v>
      </c>
      <c r="L1" s="1" t="s">
        <v>537</v>
      </c>
    </row>
    <row r="2" spans="1:12" ht="58" x14ac:dyDescent="0.35">
      <c r="A2" s="17" t="s">
        <v>234</v>
      </c>
      <c r="B2" s="20" t="str">
        <f t="shared" ref="B2:B33" si="0">IF((ISBLANK(A2)),G2,(INDEX($F:$G,(MATCH(A2,F:F,0)),2)))</f>
        <v>Provider and Network Management</v>
      </c>
      <c r="C2" s="17" t="str">
        <f>A2</f>
        <v>PB01</v>
      </c>
      <c r="D2" s="20" t="str">
        <f>B2</f>
        <v>Provider and Network Management</v>
      </c>
      <c r="E2" s="20" t="str">
        <f t="shared" ref="E2:E33" si="1">IF(I2="OBA Domain Level 0",B2,(IF(I2="OBA Function Level 1",(CONCATENATE(B2,".",D2)),(CONCATENATE(B2,".",D2,".",G2)))))</f>
        <v>Provider and Network Management</v>
      </c>
      <c r="F2" s="17" t="s">
        <v>234</v>
      </c>
      <c r="G2" s="17" t="s">
        <v>235</v>
      </c>
      <c r="H2" s="17" t="s">
        <v>236</v>
      </c>
      <c r="I2" s="17" t="s">
        <v>124</v>
      </c>
      <c r="J2" s="20" t="str">
        <f t="shared" ref="J2:J33" si="2">IF(I2="OBA Domain Level 0",(CONCATENATE(C2,"-",D2)),(IF(I2="OBA Function Level 1",(CONCATENATE(" ", C2,"-",D2)),(CONCATENATE(" ", C2,"-",G2)))))</f>
        <v>PB01-Provider and Network Management</v>
      </c>
      <c r="K2" s="20" t="s">
        <v>453</v>
      </c>
      <c r="L2" s="20">
        <v>1</v>
      </c>
    </row>
    <row r="3" spans="1:12" ht="43.5" x14ac:dyDescent="0.35">
      <c r="A3" s="18" t="s">
        <v>234</v>
      </c>
      <c r="B3" s="21" t="str">
        <f t="shared" si="0"/>
        <v>Provider and Network Management</v>
      </c>
      <c r="C3" s="18" t="s">
        <v>257</v>
      </c>
      <c r="D3" s="21" t="str">
        <f>IF(I3="OBA Domain Level 0","",(IF(I3="OBA Function Level 1",G3,(INDEX(F:G,(MATCH(C3,F:F,0)),2)))))</f>
        <v>Network Management</v>
      </c>
      <c r="E3" s="21" t="str">
        <f t="shared" si="1"/>
        <v>Provider and Network Management.Network Management</v>
      </c>
      <c r="F3" s="18" t="s">
        <v>257</v>
      </c>
      <c r="G3" s="18" t="s">
        <v>258</v>
      </c>
      <c r="H3" s="18" t="s">
        <v>259</v>
      </c>
      <c r="I3" s="18" t="s">
        <v>141</v>
      </c>
      <c r="J3" s="21" t="str">
        <f t="shared" si="2"/>
        <v xml:space="preserve"> PB1.1-Network Management</v>
      </c>
      <c r="K3" s="21" t="s">
        <v>454</v>
      </c>
      <c r="L3" s="21">
        <v>1</v>
      </c>
    </row>
    <row r="4" spans="1:12" ht="29" x14ac:dyDescent="0.35">
      <c r="A4" s="18" t="s">
        <v>234</v>
      </c>
      <c r="B4" s="21" t="str">
        <f t="shared" si="0"/>
        <v>Provider and Network Management</v>
      </c>
      <c r="C4" s="18" t="s">
        <v>260</v>
      </c>
      <c r="D4" s="21" t="str">
        <f>IF(I4="OBA Domain Level 0","",(IF(I4="OBA Function Level 1",G4,(INDEX(F:G,(MATCH(C4,F:F,0)),2)))))</f>
        <v>Provider Contracting</v>
      </c>
      <c r="E4" s="21" t="str">
        <f t="shared" si="1"/>
        <v>Provider and Network Management.Provider Contracting</v>
      </c>
      <c r="F4" s="18" t="s">
        <v>260</v>
      </c>
      <c r="G4" s="18" t="s">
        <v>261</v>
      </c>
      <c r="H4" s="18" t="s">
        <v>262</v>
      </c>
      <c r="I4" s="18" t="s">
        <v>141</v>
      </c>
      <c r="J4" s="21" t="str">
        <f t="shared" si="2"/>
        <v xml:space="preserve"> PB1.2-Provider Contracting</v>
      </c>
      <c r="K4" s="21" t="s">
        <v>455</v>
      </c>
      <c r="L4" s="21">
        <v>1</v>
      </c>
    </row>
    <row r="5" spans="1:12" ht="29" x14ac:dyDescent="0.35">
      <c r="A5" s="18" t="s">
        <v>234</v>
      </c>
      <c r="B5" s="21" t="str">
        <f t="shared" si="0"/>
        <v>Provider and Network Management</v>
      </c>
      <c r="C5" s="18" t="s">
        <v>263</v>
      </c>
      <c r="D5" s="21" t="str">
        <f>IF(I5="OBA Domain Level 0","",(IF(I5="OBA Function Level 1",G5,(INDEX(F:G,(MATCH(C5,F:F,0)),2)))))</f>
        <v>Provider Credentialing</v>
      </c>
      <c r="E5" s="21" t="str">
        <f t="shared" si="1"/>
        <v>Provider and Network Management.Provider Credentialing</v>
      </c>
      <c r="F5" s="18" t="s">
        <v>263</v>
      </c>
      <c r="G5" s="18" t="s">
        <v>264</v>
      </c>
      <c r="H5" s="18" t="s">
        <v>265</v>
      </c>
      <c r="I5" s="18" t="s">
        <v>141</v>
      </c>
      <c r="J5" s="21" t="str">
        <f t="shared" si="2"/>
        <v xml:space="preserve"> PB1.3-Provider Credentialing</v>
      </c>
      <c r="K5" s="21" t="s">
        <v>456</v>
      </c>
      <c r="L5" s="21">
        <v>1</v>
      </c>
    </row>
    <row r="6" spans="1:12" ht="43.5" x14ac:dyDescent="0.35">
      <c r="A6" s="18" t="s">
        <v>234</v>
      </c>
      <c r="B6" s="21" t="str">
        <f t="shared" si="0"/>
        <v>Provider and Network Management</v>
      </c>
      <c r="C6" s="18" t="s">
        <v>266</v>
      </c>
      <c r="D6" s="21" t="str">
        <f>IF(I6="OBA Domain Level 0","",(IF(I6="OBA Function Level 1",G6,(INDEX(F:G,(MATCH(C6,F:F,0)),2)))))</f>
        <v>Provider Servicing</v>
      </c>
      <c r="E6" s="21" t="str">
        <f t="shared" si="1"/>
        <v>Provider and Network Management.Provider Servicing</v>
      </c>
      <c r="F6" s="18" t="s">
        <v>266</v>
      </c>
      <c r="G6" s="18" t="s">
        <v>267</v>
      </c>
      <c r="H6" s="18" t="s">
        <v>268</v>
      </c>
      <c r="I6" s="18" t="s">
        <v>141</v>
      </c>
      <c r="J6" s="21" t="str">
        <f t="shared" si="2"/>
        <v xml:space="preserve"> PB1.4-Provider Servicing</v>
      </c>
      <c r="K6" s="21" t="s">
        <v>457</v>
      </c>
      <c r="L6" s="21">
        <v>1</v>
      </c>
    </row>
    <row r="7" spans="1:12" x14ac:dyDescent="0.35">
      <c r="A7" s="17" t="s">
        <v>237</v>
      </c>
      <c r="B7" s="20" t="str">
        <f t="shared" si="0"/>
        <v>Product</v>
      </c>
      <c r="C7" s="17" t="str">
        <f>A7</f>
        <v>PB02</v>
      </c>
      <c r="D7" s="20" t="str">
        <f>B7</f>
        <v>Product</v>
      </c>
      <c r="E7" s="20" t="str">
        <f t="shared" si="1"/>
        <v>Product</v>
      </c>
      <c r="F7" s="17" t="s">
        <v>237</v>
      </c>
      <c r="G7" s="17" t="s">
        <v>30</v>
      </c>
      <c r="H7" s="17" t="s">
        <v>238</v>
      </c>
      <c r="I7" s="17" t="s">
        <v>124</v>
      </c>
      <c r="J7" s="20" t="str">
        <f t="shared" si="2"/>
        <v>PB02-Product</v>
      </c>
      <c r="K7" s="20" t="s">
        <v>505</v>
      </c>
      <c r="L7" s="20">
        <v>1</v>
      </c>
    </row>
    <row r="8" spans="1:12" ht="29" x14ac:dyDescent="0.35">
      <c r="A8" s="18" t="s">
        <v>237</v>
      </c>
      <c r="B8" s="21" t="str">
        <f t="shared" si="0"/>
        <v>Product</v>
      </c>
      <c r="C8" s="18" t="s">
        <v>281</v>
      </c>
      <c r="D8" s="21" t="str">
        <f>IF(I8="OBA Domain Level 0","",(IF(I8="OBA Function Level 1",G8,(INDEX(F:G,(MATCH(C8,F:F,0)),2)))))</f>
        <v>Product Design</v>
      </c>
      <c r="E8" s="21" t="str">
        <f t="shared" si="1"/>
        <v>Product.Product Design</v>
      </c>
      <c r="F8" s="18" t="s">
        <v>281</v>
      </c>
      <c r="G8" s="18" t="s">
        <v>282</v>
      </c>
      <c r="H8" s="18" t="s">
        <v>283</v>
      </c>
      <c r="I8" s="18" t="s">
        <v>141</v>
      </c>
      <c r="J8" s="21" t="str">
        <f t="shared" si="2"/>
        <v xml:space="preserve"> PB2.1-Product Design</v>
      </c>
      <c r="K8" s="21" t="s">
        <v>506</v>
      </c>
      <c r="L8" s="21">
        <v>1</v>
      </c>
    </row>
    <row r="9" spans="1:12" ht="29" x14ac:dyDescent="0.35">
      <c r="A9" s="18" t="s">
        <v>237</v>
      </c>
      <c r="B9" s="21" t="str">
        <f t="shared" si="0"/>
        <v>Product</v>
      </c>
      <c r="C9" s="18" t="s">
        <v>284</v>
      </c>
      <c r="D9" s="21" t="str">
        <f>IF(I9="OBA Domain Level 0","",(IF(I9="OBA Function Level 1",G9,(INDEX(F:G,(MATCH(C9,F:F,0)),2)))))</f>
        <v>Build and Configure Products</v>
      </c>
      <c r="E9" s="21" t="str">
        <f t="shared" si="1"/>
        <v>Product.Build and Configure Products</v>
      </c>
      <c r="F9" s="18" t="s">
        <v>284</v>
      </c>
      <c r="G9" s="18" t="s">
        <v>285</v>
      </c>
      <c r="H9" s="18" t="s">
        <v>286</v>
      </c>
      <c r="I9" s="18" t="s">
        <v>141</v>
      </c>
      <c r="J9" s="21" t="str">
        <f t="shared" si="2"/>
        <v xml:space="preserve"> PB2.2-Build and Configure Products</v>
      </c>
      <c r="K9" s="21" t="s">
        <v>507</v>
      </c>
      <c r="L9" s="21">
        <v>1</v>
      </c>
    </row>
    <row r="10" spans="1:12" ht="29" x14ac:dyDescent="0.35">
      <c r="A10" s="18" t="s">
        <v>237</v>
      </c>
      <c r="B10" s="21" t="str">
        <f t="shared" si="0"/>
        <v>Product</v>
      </c>
      <c r="C10" s="18" t="s">
        <v>287</v>
      </c>
      <c r="D10" s="21" t="str">
        <f>IF(I10="OBA Domain Level 0","",(IF(I10="OBA Function Level 1",G10,(INDEX(F:G,(MATCH(C10,F:F,0)),2)))))</f>
        <v>Product Go-To Market</v>
      </c>
      <c r="E10" s="21" t="str">
        <f t="shared" si="1"/>
        <v>Product.Product Go-To Market</v>
      </c>
      <c r="F10" s="18" t="s">
        <v>287</v>
      </c>
      <c r="G10" s="18" t="s">
        <v>288</v>
      </c>
      <c r="H10" s="18" t="s">
        <v>289</v>
      </c>
      <c r="I10" s="18" t="s">
        <v>141</v>
      </c>
      <c r="J10" s="21" t="str">
        <f t="shared" si="2"/>
        <v xml:space="preserve"> PB2.3-Product Go-To Market</v>
      </c>
      <c r="K10" s="21" t="s">
        <v>508</v>
      </c>
      <c r="L10" s="21">
        <v>1</v>
      </c>
    </row>
    <row r="11" spans="1:12" ht="29" x14ac:dyDescent="0.35">
      <c r="A11" s="18" t="s">
        <v>237</v>
      </c>
      <c r="B11" s="21" t="str">
        <f t="shared" si="0"/>
        <v>Product</v>
      </c>
      <c r="C11" s="18" t="s">
        <v>290</v>
      </c>
      <c r="D11" s="21" t="str">
        <f>IF(I11="OBA Domain Level 0","",(IF(I11="OBA Function Level 1",G11,(INDEX(F:G,(MATCH(C11,F:F,0)),2)))))</f>
        <v>Product Portfolio Management</v>
      </c>
      <c r="E11" s="21" t="str">
        <f t="shared" si="1"/>
        <v>Product.Product Portfolio Management</v>
      </c>
      <c r="F11" s="18" t="s">
        <v>290</v>
      </c>
      <c r="G11" s="18" t="s">
        <v>291</v>
      </c>
      <c r="H11" s="18" t="s">
        <v>292</v>
      </c>
      <c r="I11" s="18" t="s">
        <v>141</v>
      </c>
      <c r="J11" s="21" t="str">
        <f t="shared" si="2"/>
        <v xml:space="preserve"> PB2.4-Product Portfolio Management</v>
      </c>
      <c r="K11" s="21" t="s">
        <v>509</v>
      </c>
      <c r="L11" s="21">
        <v>1</v>
      </c>
    </row>
    <row r="12" spans="1:12" x14ac:dyDescent="0.35">
      <c r="A12" s="18" t="s">
        <v>237</v>
      </c>
      <c r="B12" s="21" t="str">
        <f t="shared" si="0"/>
        <v>Product</v>
      </c>
      <c r="C12" s="18" t="s">
        <v>293</v>
      </c>
      <c r="D12" s="21" t="str">
        <f>IF(I12="OBA Domain Level 0","",(IF(I12="OBA Function Level 1",G12,(INDEX(F:G,(MATCH(C12,F:F,0)),2)))))</f>
        <v>Product Governance</v>
      </c>
      <c r="E12" s="21" t="str">
        <f t="shared" si="1"/>
        <v>Product.Product Governance</v>
      </c>
      <c r="F12" s="18" t="s">
        <v>293</v>
      </c>
      <c r="G12" s="18" t="s">
        <v>294</v>
      </c>
      <c r="H12" s="18" t="s">
        <v>295</v>
      </c>
      <c r="I12" s="18" t="s">
        <v>141</v>
      </c>
      <c r="J12" s="21" t="str">
        <f t="shared" si="2"/>
        <v xml:space="preserve"> PB2.5-Product Governance</v>
      </c>
      <c r="K12" s="21" t="s">
        <v>510</v>
      </c>
      <c r="L12" s="21">
        <v>1</v>
      </c>
    </row>
    <row r="13" spans="1:12" ht="55.5" customHeight="1" x14ac:dyDescent="0.35">
      <c r="A13" s="17" t="s">
        <v>239</v>
      </c>
      <c r="B13" s="20" t="str">
        <f t="shared" si="0"/>
        <v>Pricing and Underwriting</v>
      </c>
      <c r="C13" s="17" t="str">
        <f>A13</f>
        <v>PB-03</v>
      </c>
      <c r="D13" s="20" t="str">
        <f>B13</f>
        <v>Pricing and Underwriting</v>
      </c>
      <c r="E13" s="20" t="str">
        <f t="shared" si="1"/>
        <v>Pricing and Underwriting</v>
      </c>
      <c r="F13" s="17" t="s">
        <v>239</v>
      </c>
      <c r="G13" s="17" t="s">
        <v>240</v>
      </c>
      <c r="H13" s="17" t="s">
        <v>241</v>
      </c>
      <c r="I13" s="17" t="s">
        <v>124</v>
      </c>
      <c r="J13" s="20" t="str">
        <f t="shared" si="2"/>
        <v>PB-03-Pricing and Underwriting</v>
      </c>
      <c r="K13" s="20" t="s">
        <v>501</v>
      </c>
      <c r="L13" s="20">
        <v>1</v>
      </c>
    </row>
    <row r="14" spans="1:12" ht="29" x14ac:dyDescent="0.35">
      <c r="A14" s="18" t="s">
        <v>239</v>
      </c>
      <c r="B14" s="21" t="str">
        <f t="shared" si="0"/>
        <v>Pricing and Underwriting</v>
      </c>
      <c r="C14" s="18" t="s">
        <v>296</v>
      </c>
      <c r="D14" s="21" t="str">
        <f>IF(I14="OBA Domain Level 0","",(IF(I14="OBA Function Level 1",G14,(INDEX(F:G,(MATCH(C14,F:F,0)),2)))))</f>
        <v>Pricing Methodology Development</v>
      </c>
      <c r="E14" s="21" t="str">
        <f t="shared" si="1"/>
        <v>Pricing and Underwriting.Pricing Methodology Development</v>
      </c>
      <c r="F14" s="18" t="s">
        <v>296</v>
      </c>
      <c r="G14" s="18" t="s">
        <v>297</v>
      </c>
      <c r="H14" s="18" t="s">
        <v>298</v>
      </c>
      <c r="I14" s="18" t="s">
        <v>141</v>
      </c>
      <c r="J14" s="21" t="str">
        <f t="shared" si="2"/>
        <v xml:space="preserve"> PB3.1-Pricing Methodology Development</v>
      </c>
      <c r="K14" s="21" t="s">
        <v>502</v>
      </c>
      <c r="L14" s="21">
        <v>1</v>
      </c>
    </row>
    <row r="15" spans="1:12" ht="43.5" x14ac:dyDescent="0.35">
      <c r="A15" s="18" t="s">
        <v>239</v>
      </c>
      <c r="B15" s="21" t="str">
        <f t="shared" si="0"/>
        <v>Pricing and Underwriting</v>
      </c>
      <c r="C15" s="18" t="s">
        <v>299</v>
      </c>
      <c r="D15" s="21" t="str">
        <f>IF(I15="OBA Domain Level 0","",(IF(I15="OBA Function Level 1",G15,(INDEX(F:G,(MATCH(C15,F:F,0)),2)))))</f>
        <v>Pricing and Underwriting Tool Management</v>
      </c>
      <c r="E15" s="21" t="str">
        <f t="shared" si="1"/>
        <v>Pricing and Underwriting.Pricing and Underwriting Tool Management</v>
      </c>
      <c r="F15" s="18" t="s">
        <v>299</v>
      </c>
      <c r="G15" s="18" t="s">
        <v>300</v>
      </c>
      <c r="H15" s="18" t="s">
        <v>301</v>
      </c>
      <c r="I15" s="18" t="s">
        <v>141</v>
      </c>
      <c r="J15" s="21" t="str">
        <f t="shared" si="2"/>
        <v xml:space="preserve"> PB3.2-Pricing and Underwriting Tool Management</v>
      </c>
      <c r="K15" s="21" t="s">
        <v>503</v>
      </c>
      <c r="L15" s="21">
        <v>1</v>
      </c>
    </row>
    <row r="16" spans="1:12" ht="29" x14ac:dyDescent="0.35">
      <c r="A16" s="18" t="s">
        <v>239</v>
      </c>
      <c r="B16" s="21" t="str">
        <f t="shared" si="0"/>
        <v>Pricing and Underwriting</v>
      </c>
      <c r="C16" s="18" t="s">
        <v>302</v>
      </c>
      <c r="D16" s="21" t="str">
        <f>IF(I16="OBA Domain Level 0","",(IF(I16="OBA Function Level 1",G16,(INDEX(F:G,(MATCH(C16,F:F,0)),2)))))</f>
        <v>Premium Development</v>
      </c>
      <c r="E16" s="21" t="str">
        <f t="shared" si="1"/>
        <v>Pricing and Underwriting.Premium Development</v>
      </c>
      <c r="F16" s="18" t="s">
        <v>302</v>
      </c>
      <c r="G16" s="18" t="s">
        <v>303</v>
      </c>
      <c r="H16" s="18" t="s">
        <v>304</v>
      </c>
      <c r="I16" s="18" t="s">
        <v>141</v>
      </c>
      <c r="J16" s="21" t="str">
        <f t="shared" si="2"/>
        <v xml:space="preserve"> PB3.3-Premium Development</v>
      </c>
      <c r="K16" s="21" t="s">
        <v>504</v>
      </c>
      <c r="L16" s="21">
        <v>1</v>
      </c>
    </row>
    <row r="17" spans="1:12" ht="51" customHeight="1" x14ac:dyDescent="0.35">
      <c r="A17" s="17" t="s">
        <v>242</v>
      </c>
      <c r="B17" s="20" t="str">
        <f t="shared" si="0"/>
        <v>Marketing</v>
      </c>
      <c r="C17" s="17" t="str">
        <f>A17</f>
        <v>PB-04</v>
      </c>
      <c r="D17" s="20" t="str">
        <f>B17</f>
        <v>Marketing</v>
      </c>
      <c r="E17" s="20" t="str">
        <f t="shared" si="1"/>
        <v>Marketing</v>
      </c>
      <c r="F17" s="17" t="s">
        <v>242</v>
      </c>
      <c r="G17" s="17" t="s">
        <v>98</v>
      </c>
      <c r="H17" s="17" t="s">
        <v>243</v>
      </c>
      <c r="I17" s="17" t="s">
        <v>124</v>
      </c>
      <c r="J17" s="20" t="str">
        <f t="shared" si="2"/>
        <v>PB-04-Marketing</v>
      </c>
      <c r="K17" s="20" t="s">
        <v>493</v>
      </c>
      <c r="L17" s="20">
        <v>1</v>
      </c>
    </row>
    <row r="18" spans="1:12" ht="43.5" x14ac:dyDescent="0.35">
      <c r="A18" s="18" t="s">
        <v>242</v>
      </c>
      <c r="B18" s="21" t="str">
        <f t="shared" si="0"/>
        <v>Marketing</v>
      </c>
      <c r="C18" s="18" t="s">
        <v>305</v>
      </c>
      <c r="D18" s="21" t="str">
        <f>IF(I18="OBA Domain Level 0","",(IF(I18="OBA Function Level 1",G18,(INDEX(F:G,(MATCH(C18,F:F,0)),2)))))</f>
        <v>Strategic Marketing</v>
      </c>
      <c r="E18" s="21" t="str">
        <f t="shared" si="1"/>
        <v>Marketing.Strategic Marketing</v>
      </c>
      <c r="F18" s="18" t="s">
        <v>305</v>
      </c>
      <c r="G18" s="18" t="s">
        <v>306</v>
      </c>
      <c r="H18" s="18" t="s">
        <v>307</v>
      </c>
      <c r="I18" s="18" t="s">
        <v>141</v>
      </c>
      <c r="J18" s="21" t="str">
        <f t="shared" si="2"/>
        <v xml:space="preserve"> PB4.1-Strategic Marketing</v>
      </c>
      <c r="K18" s="21" t="s">
        <v>494</v>
      </c>
      <c r="L18" s="21">
        <v>1</v>
      </c>
    </row>
    <row r="19" spans="1:12" ht="29" x14ac:dyDescent="0.35">
      <c r="A19" s="18" t="s">
        <v>242</v>
      </c>
      <c r="B19" s="21" t="str">
        <f t="shared" si="0"/>
        <v>Marketing</v>
      </c>
      <c r="C19" s="18" t="s">
        <v>308</v>
      </c>
      <c r="D19" s="21" t="str">
        <f>IF(I19="OBA Domain Level 0","",(IF(I19="OBA Function Level 1",G19,(INDEX(F:G,(MATCH(C19,F:F,0)),2)))))</f>
        <v>Product Marketing</v>
      </c>
      <c r="E19" s="21" t="str">
        <f t="shared" si="1"/>
        <v>Marketing.Product Marketing</v>
      </c>
      <c r="F19" s="18" t="s">
        <v>308</v>
      </c>
      <c r="G19" s="18" t="s">
        <v>309</v>
      </c>
      <c r="H19" s="18" t="s">
        <v>310</v>
      </c>
      <c r="I19" s="18" t="s">
        <v>141</v>
      </c>
      <c r="J19" s="21" t="str">
        <f t="shared" si="2"/>
        <v xml:space="preserve"> PB4.2-Product Marketing</v>
      </c>
      <c r="K19" s="21" t="s">
        <v>495</v>
      </c>
      <c r="L19" s="21">
        <v>1</v>
      </c>
    </row>
    <row r="20" spans="1:12" ht="43.5" x14ac:dyDescent="0.35">
      <c r="A20" s="18" t="s">
        <v>242</v>
      </c>
      <c r="B20" s="21" t="str">
        <f t="shared" si="0"/>
        <v>Marketing</v>
      </c>
      <c r="C20" s="18" t="s">
        <v>311</v>
      </c>
      <c r="D20" s="21" t="str">
        <f>IF(I20="OBA Domain Level 0","",(IF(I20="OBA Function Level 1",G20,(INDEX(F:G,(MATCH(C20,F:F,0)),2)))))</f>
        <v>Campaign Management</v>
      </c>
      <c r="E20" s="21" t="str">
        <f t="shared" si="1"/>
        <v>Marketing.Campaign Management</v>
      </c>
      <c r="F20" s="18" t="s">
        <v>311</v>
      </c>
      <c r="G20" s="18" t="s">
        <v>312</v>
      </c>
      <c r="H20" s="18" t="s">
        <v>313</v>
      </c>
      <c r="I20" s="18" t="s">
        <v>141</v>
      </c>
      <c r="J20" s="21" t="str">
        <f t="shared" si="2"/>
        <v xml:space="preserve"> PB4.3-Campaign Management</v>
      </c>
      <c r="K20" s="21" t="s">
        <v>496</v>
      </c>
      <c r="L20" s="21">
        <v>1</v>
      </c>
    </row>
    <row r="21" spans="1:12" ht="43.5" x14ac:dyDescent="0.35">
      <c r="A21" s="18" t="s">
        <v>242</v>
      </c>
      <c r="B21" s="21" t="str">
        <f t="shared" si="0"/>
        <v>Marketing</v>
      </c>
      <c r="C21" s="18" t="s">
        <v>314</v>
      </c>
      <c r="D21" s="21" t="str">
        <f>IF(I21="OBA Domain Level 0","",(IF(I21="OBA Function Level 1",G21,(INDEX(F:G,(MATCH(C21,F:F,0)),2)))))</f>
        <v>Marketing Research and Analysis</v>
      </c>
      <c r="E21" s="21" t="str">
        <f t="shared" si="1"/>
        <v>Marketing.Marketing Research and Analysis</v>
      </c>
      <c r="F21" s="18" t="s">
        <v>314</v>
      </c>
      <c r="G21" s="18" t="s">
        <v>315</v>
      </c>
      <c r="H21" s="18" t="s">
        <v>316</v>
      </c>
      <c r="I21" s="18" t="s">
        <v>141</v>
      </c>
      <c r="J21" s="21" t="str">
        <f t="shared" si="2"/>
        <v xml:space="preserve"> PB4.4-Marketing Research and Analysis</v>
      </c>
      <c r="K21" s="21" t="s">
        <v>497</v>
      </c>
      <c r="L21" s="21">
        <v>1</v>
      </c>
    </row>
    <row r="22" spans="1:12" ht="43.5" x14ac:dyDescent="0.35">
      <c r="A22" s="17" t="s">
        <v>244</v>
      </c>
      <c r="B22" s="20" t="str">
        <f t="shared" si="0"/>
        <v>Sales</v>
      </c>
      <c r="C22" s="17" t="str">
        <f>A22</f>
        <v>PB-05</v>
      </c>
      <c r="D22" s="20" t="str">
        <f>B22</f>
        <v>Sales</v>
      </c>
      <c r="E22" s="20" t="str">
        <f t="shared" si="1"/>
        <v>Sales</v>
      </c>
      <c r="F22" s="17" t="s">
        <v>244</v>
      </c>
      <c r="G22" s="17" t="s">
        <v>245</v>
      </c>
      <c r="H22" s="17" t="s">
        <v>246</v>
      </c>
      <c r="I22" s="17" t="s">
        <v>124</v>
      </c>
      <c r="J22" s="20" t="str">
        <f t="shared" si="2"/>
        <v>PB-05-Sales</v>
      </c>
      <c r="K22" s="20" t="s">
        <v>511</v>
      </c>
      <c r="L22" s="20">
        <v>1</v>
      </c>
    </row>
    <row r="23" spans="1:12" ht="29" x14ac:dyDescent="0.35">
      <c r="A23" s="18" t="s">
        <v>244</v>
      </c>
      <c r="B23" s="21" t="str">
        <f t="shared" si="0"/>
        <v>Sales</v>
      </c>
      <c r="C23" s="18" t="s">
        <v>317</v>
      </c>
      <c r="D23" s="21" t="str">
        <f>IF(I23="OBA Domain Level 0","",(IF(I23="OBA Function Level 1",G23,(INDEX(F:G,(MATCH(C23,F:F,0)),2)))))</f>
        <v>Lead Management</v>
      </c>
      <c r="E23" s="21" t="str">
        <f t="shared" si="1"/>
        <v>Sales.Lead Management</v>
      </c>
      <c r="F23" s="18" t="s">
        <v>317</v>
      </c>
      <c r="G23" s="18" t="s">
        <v>318</v>
      </c>
      <c r="H23" s="18" t="s">
        <v>319</v>
      </c>
      <c r="I23" s="18" t="s">
        <v>141</v>
      </c>
      <c r="J23" s="21" t="str">
        <f t="shared" si="2"/>
        <v xml:space="preserve"> PB5.1-Lead Management</v>
      </c>
      <c r="K23" s="21" t="s">
        <v>512</v>
      </c>
      <c r="L23" s="21">
        <v>1</v>
      </c>
    </row>
    <row r="24" spans="1:12" ht="29" x14ac:dyDescent="0.35">
      <c r="A24" s="18" t="s">
        <v>244</v>
      </c>
      <c r="B24" s="21" t="str">
        <f t="shared" si="0"/>
        <v>Sales</v>
      </c>
      <c r="C24" s="18" t="s">
        <v>320</v>
      </c>
      <c r="D24" s="21" t="str">
        <f>IF(I24="OBA Domain Level 0","",(IF(I24="OBA Function Level 1",G24,(INDEX(F:G,(MATCH(C24,F:F,0)),2)))))</f>
        <v>Opportunity Management</v>
      </c>
      <c r="E24" s="21" t="str">
        <f t="shared" si="1"/>
        <v>Sales.Opportunity Management</v>
      </c>
      <c r="F24" s="18" t="s">
        <v>320</v>
      </c>
      <c r="G24" s="18" t="s">
        <v>321</v>
      </c>
      <c r="H24" s="18" t="s">
        <v>322</v>
      </c>
      <c r="I24" s="18" t="s">
        <v>141</v>
      </c>
      <c r="J24" s="21" t="str">
        <f t="shared" si="2"/>
        <v xml:space="preserve"> PB5.2-Opportunity Management</v>
      </c>
      <c r="K24" s="21" t="s">
        <v>513</v>
      </c>
      <c r="L24" s="21">
        <v>1</v>
      </c>
    </row>
    <row r="25" spans="1:12" ht="29" x14ac:dyDescent="0.35">
      <c r="A25" s="18" t="s">
        <v>244</v>
      </c>
      <c r="B25" s="21" t="str">
        <f t="shared" si="0"/>
        <v>Sales</v>
      </c>
      <c r="C25" s="18" t="str">
        <f>F25</f>
        <v>PB5.3</v>
      </c>
      <c r="D25" s="21" t="str">
        <f>IF(I25="OBA Domain Level 0","",(IF(I25="OBA Function Level 1",G25,(INDEX(F:G,(MATCH(C25,F:F,0)),2)))))</f>
        <v>Proposal and Quoting</v>
      </c>
      <c r="E25" s="21" t="str">
        <f t="shared" si="1"/>
        <v>Sales.Proposal and Quoting</v>
      </c>
      <c r="F25" s="18" t="s">
        <v>323</v>
      </c>
      <c r="G25" s="18" t="s">
        <v>324</v>
      </c>
      <c r="H25" s="18" t="s">
        <v>325</v>
      </c>
      <c r="I25" s="18" t="s">
        <v>141</v>
      </c>
      <c r="J25" s="21" t="str">
        <f t="shared" si="2"/>
        <v xml:space="preserve"> PB5.3-Proposal and Quoting</v>
      </c>
      <c r="K25" s="21" t="s">
        <v>514</v>
      </c>
      <c r="L25" s="21">
        <v>1</v>
      </c>
    </row>
    <row r="26" spans="1:12" ht="29" x14ac:dyDescent="0.35">
      <c r="A26" s="18" t="s">
        <v>244</v>
      </c>
      <c r="B26" s="21" t="str">
        <f t="shared" si="0"/>
        <v>Sales</v>
      </c>
      <c r="C26" s="18" t="str">
        <f>F26</f>
        <v>PB5.4</v>
      </c>
      <c r="D26" s="21" t="str">
        <f>IF(I26="OBA Domain Level 0","",(IF(I26="OBA Function Level 1",G26,(INDEX(F:G,(MATCH(C26,F:F,0)),2)))))</f>
        <v>Account Management</v>
      </c>
      <c r="E26" s="21" t="str">
        <f t="shared" si="1"/>
        <v>Sales.Account Management</v>
      </c>
      <c r="F26" s="18" t="s">
        <v>326</v>
      </c>
      <c r="G26" s="18" t="s">
        <v>327</v>
      </c>
      <c r="H26" s="18" t="s">
        <v>328</v>
      </c>
      <c r="I26" s="18" t="s">
        <v>141</v>
      </c>
      <c r="J26" s="21" t="str">
        <f t="shared" si="2"/>
        <v xml:space="preserve"> PB5.4-Account Management</v>
      </c>
      <c r="K26" s="21" t="s">
        <v>515</v>
      </c>
      <c r="L26" s="21">
        <v>1</v>
      </c>
    </row>
    <row r="27" spans="1:12" ht="29" x14ac:dyDescent="0.35">
      <c r="A27" s="18" t="s">
        <v>244</v>
      </c>
      <c r="B27" s="21" t="str">
        <f t="shared" si="0"/>
        <v>Sales</v>
      </c>
      <c r="C27" s="18" t="str">
        <f>F27</f>
        <v>PB5.5</v>
      </c>
      <c r="D27" s="21" t="str">
        <f>IF(I27="OBA Domain Level 0","",(IF(I27="OBA Function Level 1",G27,(INDEX(F:G,(MATCH(C27,F:F,0)),2)))))</f>
        <v>Sales Channel Management</v>
      </c>
      <c r="E27" s="21" t="str">
        <f t="shared" si="1"/>
        <v>Sales.Sales Channel Management</v>
      </c>
      <c r="F27" s="18" t="s">
        <v>329</v>
      </c>
      <c r="G27" s="18" t="s">
        <v>330</v>
      </c>
      <c r="H27" s="18" t="s">
        <v>331</v>
      </c>
      <c r="I27" s="18" t="s">
        <v>141</v>
      </c>
      <c r="J27" s="21" t="str">
        <f t="shared" si="2"/>
        <v xml:space="preserve"> PB5.5-Sales Channel Management</v>
      </c>
      <c r="K27" s="21" t="s">
        <v>516</v>
      </c>
      <c r="L27" s="21">
        <v>1</v>
      </c>
    </row>
    <row r="28" spans="1:12" ht="43.5" x14ac:dyDescent="0.35">
      <c r="A28" s="17" t="s">
        <v>247</v>
      </c>
      <c r="B28" s="20" t="str">
        <f t="shared" si="0"/>
        <v>Care Management</v>
      </c>
      <c r="C28" s="17" t="str">
        <f>A28</f>
        <v>PB-06</v>
      </c>
      <c r="D28" s="20" t="str">
        <f>B28</f>
        <v>Care Management</v>
      </c>
      <c r="E28" s="20" t="str">
        <f t="shared" si="1"/>
        <v>Care Management</v>
      </c>
      <c r="F28" s="17" t="s">
        <v>247</v>
      </c>
      <c r="G28" s="17" t="s">
        <v>89</v>
      </c>
      <c r="H28" s="17" t="s">
        <v>248</v>
      </c>
      <c r="I28" s="17" t="s">
        <v>124</v>
      </c>
      <c r="J28" s="20" t="str">
        <f t="shared" si="2"/>
        <v>PB-06-Care Management</v>
      </c>
      <c r="K28" s="20" t="s">
        <v>459</v>
      </c>
      <c r="L28" s="20">
        <v>1</v>
      </c>
    </row>
    <row r="29" spans="1:12" ht="29" x14ac:dyDescent="0.35">
      <c r="A29" s="18" t="s">
        <v>247</v>
      </c>
      <c r="B29" s="21" t="str">
        <f t="shared" si="0"/>
        <v>Care Management</v>
      </c>
      <c r="C29" s="18" t="str">
        <f>F29</f>
        <v>PB6.1</v>
      </c>
      <c r="D29" s="21" t="str">
        <f>IF(I29="OBA Domain Level 0","",(IF(I29="OBA Function Level 1",G29,(INDEX(F:G,(MATCH(C29,F:F,0)),2)))))</f>
        <v>Health Program Management</v>
      </c>
      <c r="E29" s="21" t="str">
        <f t="shared" si="1"/>
        <v>Care Management.Health Program Management</v>
      </c>
      <c r="F29" s="18" t="s">
        <v>332</v>
      </c>
      <c r="G29" s="18" t="s">
        <v>333</v>
      </c>
      <c r="H29" s="18" t="s">
        <v>334</v>
      </c>
      <c r="I29" s="18" t="s">
        <v>141</v>
      </c>
      <c r="J29" s="21" t="str">
        <f t="shared" si="2"/>
        <v xml:space="preserve"> PB6.1-Health Program Management</v>
      </c>
      <c r="K29" s="21" t="s">
        <v>460</v>
      </c>
      <c r="L29" s="21">
        <v>1</v>
      </c>
    </row>
    <row r="30" spans="1:12" ht="29" x14ac:dyDescent="0.35">
      <c r="A30" s="18" t="s">
        <v>247</v>
      </c>
      <c r="B30" s="21" t="str">
        <f t="shared" si="0"/>
        <v>Care Management</v>
      </c>
      <c r="C30" s="18" t="str">
        <f>F30</f>
        <v>PB6.2</v>
      </c>
      <c r="D30" s="21" t="str">
        <f>IF(I30="OBA Domain Level 0","",(IF(I30="OBA Function Level 1",G30,(INDEX(F:G,(MATCH(C30,F:F,0)),2)))))</f>
        <v>Utilization Management</v>
      </c>
      <c r="E30" s="21" t="str">
        <f t="shared" si="1"/>
        <v>Care Management.Utilization Management</v>
      </c>
      <c r="F30" s="18" t="s">
        <v>335</v>
      </c>
      <c r="G30" s="18" t="s">
        <v>336</v>
      </c>
      <c r="H30" s="18" t="s">
        <v>337</v>
      </c>
      <c r="I30" s="18" t="s">
        <v>141</v>
      </c>
      <c r="J30" s="21" t="str">
        <f t="shared" si="2"/>
        <v xml:space="preserve"> PB6.2-Utilization Management</v>
      </c>
      <c r="K30" s="21" t="s">
        <v>461</v>
      </c>
      <c r="L30" s="21">
        <v>1</v>
      </c>
    </row>
    <row r="31" spans="1:12" ht="29" x14ac:dyDescent="0.35">
      <c r="A31" s="18" t="s">
        <v>247</v>
      </c>
      <c r="B31" s="21" t="str">
        <f t="shared" si="0"/>
        <v>Care Management</v>
      </c>
      <c r="C31" s="18" t="str">
        <f>F31</f>
        <v>PB6.3</v>
      </c>
      <c r="D31" s="21" t="str">
        <f>IF(I31="OBA Domain Level 0","",(IF(I31="OBA Function Level 1",G31,(INDEX(F:G,(MATCH(C31,F:F,0)),2)))))</f>
        <v>Health and Wellness</v>
      </c>
      <c r="E31" s="21" t="str">
        <f t="shared" si="1"/>
        <v>Care Management.Health and Wellness</v>
      </c>
      <c r="F31" s="18" t="s">
        <v>338</v>
      </c>
      <c r="G31" s="18" t="s">
        <v>339</v>
      </c>
      <c r="H31" s="18" t="s">
        <v>340</v>
      </c>
      <c r="I31" s="18" t="s">
        <v>141</v>
      </c>
      <c r="J31" s="21" t="str">
        <f t="shared" si="2"/>
        <v xml:space="preserve"> PB6.3-Health and Wellness</v>
      </c>
      <c r="K31" s="21" t="s">
        <v>462</v>
      </c>
      <c r="L31" s="21">
        <v>1</v>
      </c>
    </row>
    <row r="32" spans="1:12" x14ac:dyDescent="0.35">
      <c r="A32" s="17" t="s">
        <v>249</v>
      </c>
      <c r="B32" s="20" t="str">
        <f t="shared" si="0"/>
        <v>Claims Management</v>
      </c>
      <c r="C32" s="17" t="str">
        <f>A32</f>
        <v>PB-07</v>
      </c>
      <c r="D32" s="20" t="str">
        <f>B32</f>
        <v>Claims Management</v>
      </c>
      <c r="E32" s="20" t="str">
        <f t="shared" si="1"/>
        <v>Claims Management</v>
      </c>
      <c r="F32" s="17" t="s">
        <v>249</v>
      </c>
      <c r="G32" s="17" t="s">
        <v>250</v>
      </c>
      <c r="H32" s="17" t="s">
        <v>251</v>
      </c>
      <c r="I32" s="17" t="s">
        <v>124</v>
      </c>
      <c r="J32" s="20" t="str">
        <f t="shared" si="2"/>
        <v>PB-07-Claims Management</v>
      </c>
      <c r="K32" s="20" t="s">
        <v>463</v>
      </c>
      <c r="L32" s="20">
        <v>1</v>
      </c>
    </row>
    <row r="33" spans="1:12" ht="29" x14ac:dyDescent="0.35">
      <c r="A33" s="18" t="s">
        <v>249</v>
      </c>
      <c r="B33" s="21" t="str">
        <f t="shared" si="0"/>
        <v>Claims Management</v>
      </c>
      <c r="C33" s="18" t="str">
        <f>F33</f>
        <v>PB7.1</v>
      </c>
      <c r="D33" s="21" t="str">
        <f>IF(I33="OBA Domain Level 0","",(IF(I33="OBA Function Level 1",G33,(INDEX(F:G,(MATCH(C33,F:F,0)),2)))))</f>
        <v>Claim Acquisition</v>
      </c>
      <c r="E33" s="21" t="str">
        <f t="shared" si="1"/>
        <v>Claims Management.Claim Acquisition</v>
      </c>
      <c r="F33" s="18" t="s">
        <v>341</v>
      </c>
      <c r="G33" s="18" t="s">
        <v>342</v>
      </c>
      <c r="H33" s="18" t="s">
        <v>343</v>
      </c>
      <c r="I33" s="18" t="s">
        <v>141</v>
      </c>
      <c r="J33" s="21" t="str">
        <f t="shared" si="2"/>
        <v xml:space="preserve"> PB7.1-Claim Acquisition</v>
      </c>
      <c r="K33" s="21" t="s">
        <v>464</v>
      </c>
      <c r="L33" s="21">
        <v>1</v>
      </c>
    </row>
    <row r="34" spans="1:12" ht="58" x14ac:dyDescent="0.35">
      <c r="A34" s="18" t="s">
        <v>249</v>
      </c>
      <c r="B34" s="21" t="str">
        <f t="shared" ref="B34:B65" si="3">IF((ISBLANK(A34)),G34,(INDEX($F:$G,(MATCH(A34,F:F,0)),2)))</f>
        <v>Claims Management</v>
      </c>
      <c r="C34" s="18" t="str">
        <f>F34</f>
        <v>PB7.2</v>
      </c>
      <c r="D34" s="21" t="str">
        <f>IF(I34="OBA Domain Level 0","",(IF(I34="OBA Function Level 1",G34,(INDEX(F:G,(MATCH(C34,F:F,0)),2)))))</f>
        <v>Claims Validation</v>
      </c>
      <c r="E34" s="21" t="str">
        <f t="shared" ref="E34:E65" si="4">IF(I34="OBA Domain Level 0",B34,(IF(I34="OBA Function Level 1",(CONCATENATE(B34,".",D34)),(CONCATENATE(B34,".",D34,".",G34)))))</f>
        <v>Claims Management.Claims Validation</v>
      </c>
      <c r="F34" s="18" t="s">
        <v>344</v>
      </c>
      <c r="G34" s="18" t="s">
        <v>345</v>
      </c>
      <c r="H34" s="18" t="s">
        <v>346</v>
      </c>
      <c r="I34" s="18" t="s">
        <v>141</v>
      </c>
      <c r="J34" s="21" t="str">
        <f t="shared" ref="J34:J65" si="5">IF(I34="OBA Domain Level 0",(CONCATENATE(C34,"-",D34)),(IF(I34="OBA Function Level 1",(CONCATENATE(" ", C34,"-",D34)),(CONCATENATE(" ", C34,"-",G34)))))</f>
        <v xml:space="preserve"> PB7.2-Claims Validation</v>
      </c>
      <c r="K34" s="21" t="s">
        <v>465</v>
      </c>
      <c r="L34" s="21">
        <v>1</v>
      </c>
    </row>
    <row r="35" spans="1:12" ht="43.5" x14ac:dyDescent="0.35">
      <c r="A35" s="18" t="s">
        <v>249</v>
      </c>
      <c r="B35" s="21" t="str">
        <f t="shared" si="3"/>
        <v>Claims Management</v>
      </c>
      <c r="C35" s="18" t="str">
        <f>F35</f>
        <v>PB7.3</v>
      </c>
      <c r="D35" s="21" t="str">
        <f>IF(I35="OBA Domain Level 0","",(IF(I35="OBA Function Level 1",G35,(INDEX(F:G,(MATCH(C35,F:F,0)),2)))))</f>
        <v>Claim Adjudication</v>
      </c>
      <c r="E35" s="21" t="str">
        <f t="shared" si="4"/>
        <v>Claims Management.Claim Adjudication</v>
      </c>
      <c r="F35" s="18" t="s">
        <v>347</v>
      </c>
      <c r="G35" s="18" t="s">
        <v>348</v>
      </c>
      <c r="H35" s="18" t="s">
        <v>349</v>
      </c>
      <c r="I35" s="18" t="s">
        <v>141</v>
      </c>
      <c r="J35" s="21" t="str">
        <f t="shared" si="5"/>
        <v xml:space="preserve"> PB7.3-Claim Adjudication</v>
      </c>
      <c r="K35" s="21" t="s">
        <v>466</v>
      </c>
      <c r="L35" s="21">
        <v>1</v>
      </c>
    </row>
    <row r="36" spans="1:12" ht="43.5" x14ac:dyDescent="0.35">
      <c r="A36" s="18" t="s">
        <v>249</v>
      </c>
      <c r="B36" s="21" t="str">
        <f t="shared" si="3"/>
        <v>Claims Management</v>
      </c>
      <c r="C36" s="18" t="str">
        <f>F36</f>
        <v>PB7.4</v>
      </c>
      <c r="D36" s="21" t="str">
        <f>IF(I36="OBA Domain Level 0","",(IF(I36="OBA Function Level 1",G36,(INDEX(F:G,(MATCH(C36,F:F,0)),2)))))</f>
        <v>Claim Settlement</v>
      </c>
      <c r="E36" s="21" t="str">
        <f t="shared" si="4"/>
        <v>Claims Management.Claim Settlement</v>
      </c>
      <c r="F36" s="18" t="s">
        <v>350</v>
      </c>
      <c r="G36" s="18" t="s">
        <v>351</v>
      </c>
      <c r="H36" s="18" t="s">
        <v>352</v>
      </c>
      <c r="I36" s="18" t="s">
        <v>141</v>
      </c>
      <c r="J36" s="21" t="str">
        <f t="shared" si="5"/>
        <v xml:space="preserve"> PB7.4-Claim Settlement</v>
      </c>
      <c r="K36" s="21" t="s">
        <v>467</v>
      </c>
      <c r="L36" s="21">
        <v>1</v>
      </c>
    </row>
    <row r="37" spans="1:12" ht="29" x14ac:dyDescent="0.35">
      <c r="A37" s="18" t="s">
        <v>249</v>
      </c>
      <c r="B37" s="21" t="str">
        <f t="shared" si="3"/>
        <v>Claims Management</v>
      </c>
      <c r="C37" s="18" t="str">
        <f>F37</f>
        <v>PB7.5</v>
      </c>
      <c r="D37" s="21" t="str">
        <f>IF(I37="OBA Domain Level 0","",(IF(I37="OBA Function Level 1",G37,(INDEX(F:G,(MATCH(C37,F:F,0)),2)))))</f>
        <v>Claim Services</v>
      </c>
      <c r="E37" s="21" t="str">
        <f t="shared" si="4"/>
        <v>Claims Management.Claim Services</v>
      </c>
      <c r="F37" s="18" t="s">
        <v>353</v>
      </c>
      <c r="G37" s="18" t="s">
        <v>354</v>
      </c>
      <c r="H37" s="18" t="s">
        <v>355</v>
      </c>
      <c r="I37" s="18" t="s">
        <v>141</v>
      </c>
      <c r="J37" s="21" t="str">
        <f t="shared" si="5"/>
        <v xml:space="preserve"> PB7.5-Claim Services</v>
      </c>
      <c r="K37" s="21" t="s">
        <v>468</v>
      </c>
      <c r="L37" s="21">
        <v>1</v>
      </c>
    </row>
    <row r="38" spans="1:12" ht="29" x14ac:dyDescent="0.35">
      <c r="A38" s="17" t="s">
        <v>252</v>
      </c>
      <c r="B38" s="20" t="str">
        <f t="shared" si="3"/>
        <v>Member and Employer Servicing</v>
      </c>
      <c r="C38" s="17" t="str">
        <f>A38</f>
        <v>PB-08</v>
      </c>
      <c r="D38" s="20" t="str">
        <f>B38</f>
        <v>Member and Employer Servicing</v>
      </c>
      <c r="E38" s="20" t="str">
        <f t="shared" si="4"/>
        <v>Member and Employer Servicing</v>
      </c>
      <c r="F38" s="17" t="s">
        <v>252</v>
      </c>
      <c r="G38" s="17" t="s">
        <v>253</v>
      </c>
      <c r="H38" s="17" t="s">
        <v>254</v>
      </c>
      <c r="I38" s="17" t="s">
        <v>124</v>
      </c>
      <c r="J38" s="20" t="str">
        <f t="shared" si="5"/>
        <v>PB-08-Member and Employer Servicing</v>
      </c>
      <c r="K38" s="20" t="s">
        <v>498</v>
      </c>
      <c r="L38" s="20">
        <v>1</v>
      </c>
    </row>
    <row r="39" spans="1:12" ht="29" x14ac:dyDescent="0.35">
      <c r="A39" s="18" t="s">
        <v>252</v>
      </c>
      <c r="B39" s="21" t="str">
        <f t="shared" si="3"/>
        <v>Member and Employer Servicing</v>
      </c>
      <c r="C39" s="18" t="str">
        <f>F39</f>
        <v>PB8.1</v>
      </c>
      <c r="D39" s="21" t="str">
        <f>IF(I39="OBA Domain Level 0","",(IF(I39="OBA Function Level 1",G39,(INDEX(F:G,(MATCH(C39,F:F,0)),2)))))</f>
        <v>Enrollment</v>
      </c>
      <c r="E39" s="21" t="str">
        <f t="shared" si="4"/>
        <v>Member and Employer Servicing.Enrollment</v>
      </c>
      <c r="F39" s="18" t="s">
        <v>356</v>
      </c>
      <c r="G39" s="18" t="s">
        <v>357</v>
      </c>
      <c r="H39" s="18" t="s">
        <v>358</v>
      </c>
      <c r="I39" s="18" t="s">
        <v>141</v>
      </c>
      <c r="J39" s="21" t="str">
        <f t="shared" si="5"/>
        <v xml:space="preserve"> PB8.1-Enrollment</v>
      </c>
      <c r="K39" s="21" t="s">
        <v>499</v>
      </c>
      <c r="L39" s="21">
        <v>1</v>
      </c>
    </row>
    <row r="40" spans="1:12" ht="29" x14ac:dyDescent="0.35">
      <c r="A40" s="18" t="s">
        <v>252</v>
      </c>
      <c r="B40" s="21" t="str">
        <f t="shared" si="3"/>
        <v>Member and Employer Servicing</v>
      </c>
      <c r="C40" s="18" t="str">
        <f>F40</f>
        <v>PB8.2</v>
      </c>
      <c r="D40" s="21" t="str">
        <f>IF(I40="OBA Domain Level 0","",(IF(I40="OBA Function Level 1",G40,(INDEX(F:G,(MATCH(C40,F:F,0)),2)))))</f>
        <v>Billing</v>
      </c>
      <c r="E40" s="21" t="str">
        <f t="shared" si="4"/>
        <v>Member and Employer Servicing.Billing</v>
      </c>
      <c r="F40" s="18" t="s">
        <v>359</v>
      </c>
      <c r="G40" s="18" t="s">
        <v>360</v>
      </c>
      <c r="H40" s="18" t="s">
        <v>361</v>
      </c>
      <c r="I40" s="18" t="s">
        <v>141</v>
      </c>
      <c r="J40" s="21" t="str">
        <f t="shared" si="5"/>
        <v xml:space="preserve"> PB8.2-Billing</v>
      </c>
      <c r="K40" s="21" t="s">
        <v>500</v>
      </c>
      <c r="L40" s="21">
        <v>1</v>
      </c>
    </row>
    <row r="41" spans="1:12" ht="43.5" x14ac:dyDescent="0.35">
      <c r="A41" s="17" t="s">
        <v>255</v>
      </c>
      <c r="B41" s="20" t="str">
        <f t="shared" si="3"/>
        <v>Constituent Service Management</v>
      </c>
      <c r="C41" s="17" t="str">
        <f>A41</f>
        <v>PB-09</v>
      </c>
      <c r="D41" s="20" t="str">
        <f>B41</f>
        <v>Constituent Service Management</v>
      </c>
      <c r="E41" s="20" t="str">
        <f t="shared" si="4"/>
        <v>Constituent Service Management</v>
      </c>
      <c r="F41" s="17" t="s">
        <v>255</v>
      </c>
      <c r="G41" s="17" t="s">
        <v>448</v>
      </c>
      <c r="H41" s="17" t="s">
        <v>256</v>
      </c>
      <c r="I41" s="17" t="s">
        <v>124</v>
      </c>
      <c r="J41" s="20" t="str">
        <f t="shared" si="5"/>
        <v>PB-09-Constituent Service Management</v>
      </c>
      <c r="K41" s="20" t="s">
        <v>469</v>
      </c>
      <c r="L41" s="20">
        <v>1</v>
      </c>
    </row>
    <row r="42" spans="1:12" ht="29" x14ac:dyDescent="0.35">
      <c r="A42" s="18" t="s">
        <v>255</v>
      </c>
      <c r="B42" s="21" t="str">
        <f t="shared" si="3"/>
        <v>Constituent Service Management</v>
      </c>
      <c r="C42" s="18" t="str">
        <f>F42</f>
        <v>PB9.1</v>
      </c>
      <c r="D42" s="21" t="str">
        <f>IF(I42="OBA Domain Level 0","",(IF(I42="OBA Function Level 1",G42,(INDEX(F:G,(MATCH(C42,F:F,0)),2)))))</f>
        <v>Service Request Resolution</v>
      </c>
      <c r="E42" s="21" t="str">
        <f t="shared" si="4"/>
        <v>Constituent Service Management.Service Request Resolution</v>
      </c>
      <c r="F42" s="18" t="s">
        <v>362</v>
      </c>
      <c r="G42" s="18" t="s">
        <v>363</v>
      </c>
      <c r="H42" s="18" t="s">
        <v>364</v>
      </c>
      <c r="I42" s="18" t="s">
        <v>141</v>
      </c>
      <c r="J42" s="21" t="str">
        <f t="shared" si="5"/>
        <v xml:space="preserve"> PB9.1-Service Request Resolution</v>
      </c>
      <c r="K42" s="21" t="s">
        <v>471</v>
      </c>
      <c r="L42" s="21">
        <v>1</v>
      </c>
    </row>
    <row r="43" spans="1:12" ht="29" x14ac:dyDescent="0.35">
      <c r="A43" s="18" t="s">
        <v>255</v>
      </c>
      <c r="B43" s="21" t="str">
        <f t="shared" si="3"/>
        <v>Constituent Service Management</v>
      </c>
      <c r="C43" s="18" t="str">
        <f>F43</f>
        <v>PB9.2</v>
      </c>
      <c r="D43" s="21" t="str">
        <f>IF(I43="OBA Domain Level 0","",(IF(I43="OBA Function Level 1",G43,(INDEX(F:G,(MATCH(C43,F:F,0)),2)))))</f>
        <v>Service Management</v>
      </c>
      <c r="E43" s="21" t="str">
        <f t="shared" si="4"/>
        <v>Constituent Service Management.Service Management</v>
      </c>
      <c r="F43" s="18" t="s">
        <v>365</v>
      </c>
      <c r="G43" s="18" t="s">
        <v>366</v>
      </c>
      <c r="H43" s="18" t="s">
        <v>367</v>
      </c>
      <c r="I43" s="18" t="s">
        <v>141</v>
      </c>
      <c r="J43" s="21" t="str">
        <f t="shared" si="5"/>
        <v xml:space="preserve"> PB9.2-Service Management</v>
      </c>
      <c r="K43" s="21" t="s">
        <v>472</v>
      </c>
      <c r="L43" s="21">
        <v>1</v>
      </c>
    </row>
    <row r="44" spans="1:12" ht="43.5" x14ac:dyDescent="0.35">
      <c r="A44" s="18" t="s">
        <v>255</v>
      </c>
      <c r="B44" s="21" t="str">
        <f t="shared" si="3"/>
        <v>Constituent Service Management</v>
      </c>
      <c r="C44" s="18" t="str">
        <f>F44</f>
        <v>PB9.3</v>
      </c>
      <c r="D44" s="21" t="str">
        <f>IF(I44="OBA Domain Level 0","",(IF(I44="OBA Function Level 1",G44,(INDEX(F:G,(MATCH(C44,F:F,0)),2)))))</f>
        <v>Contact Center 9.3</v>
      </c>
      <c r="E44" s="21" t="str">
        <f t="shared" si="4"/>
        <v>Constituent Service Management.Contact Center 9.3</v>
      </c>
      <c r="F44" s="18" t="s">
        <v>368</v>
      </c>
      <c r="G44" s="18" t="s">
        <v>369</v>
      </c>
      <c r="H44" s="18" t="s">
        <v>370</v>
      </c>
      <c r="I44" s="18" t="s">
        <v>141</v>
      </c>
      <c r="J44" s="21" t="str">
        <f t="shared" si="5"/>
        <v xml:space="preserve"> PB9.3-Contact Center 9.3</v>
      </c>
      <c r="K44" s="21" t="s">
        <v>473</v>
      </c>
      <c r="L44" s="21">
        <v>1</v>
      </c>
    </row>
    <row r="45" spans="1:12" ht="29" x14ac:dyDescent="0.35">
      <c r="A45" s="18" t="s">
        <v>255</v>
      </c>
      <c r="B45" s="21" t="str">
        <f t="shared" si="3"/>
        <v>Constituent Service Management</v>
      </c>
      <c r="C45" s="18" t="str">
        <f>F45</f>
        <v>PB9.4</v>
      </c>
      <c r="D45" s="21" t="str">
        <f>IF(I45="OBA Domain Level 0","",(IF(I45="OBA Function Level 1",G45,(INDEX(F:G,(MATCH(C45,F:F,0)),2)))))</f>
        <v>Workforce Optimization</v>
      </c>
      <c r="E45" s="21" t="str">
        <f t="shared" si="4"/>
        <v>Constituent Service Management.Workforce Optimization</v>
      </c>
      <c r="F45" s="18" t="s">
        <v>371</v>
      </c>
      <c r="G45" s="18" t="s">
        <v>372</v>
      </c>
      <c r="H45" s="18" t="s">
        <v>373</v>
      </c>
      <c r="I45" s="18" t="s">
        <v>141</v>
      </c>
      <c r="J45" s="21" t="str">
        <f t="shared" si="5"/>
        <v xml:space="preserve"> PB9.4-Workforce Optimization</v>
      </c>
      <c r="K45" s="21" t="s">
        <v>470</v>
      </c>
      <c r="L45" s="21">
        <v>1</v>
      </c>
    </row>
    <row r="46" spans="1:12" ht="43.5" x14ac:dyDescent="0.35">
      <c r="A46" s="17" t="s">
        <v>269</v>
      </c>
      <c r="B46" s="20" t="str">
        <f t="shared" si="3"/>
        <v>Care Delivery and Coordination</v>
      </c>
      <c r="C46" s="17" t="str">
        <f>A46</f>
        <v>PB10</v>
      </c>
      <c r="D46" s="20" t="str">
        <f>B46</f>
        <v>Care Delivery and Coordination</v>
      </c>
      <c r="E46" s="20" t="str">
        <f t="shared" si="4"/>
        <v>Care Delivery and Coordination</v>
      </c>
      <c r="F46" s="17" t="s">
        <v>269</v>
      </c>
      <c r="G46" s="17" t="s">
        <v>270</v>
      </c>
      <c r="H46" s="17" t="s">
        <v>271</v>
      </c>
      <c r="I46" s="17" t="s">
        <v>124</v>
      </c>
      <c r="J46" s="20" t="str">
        <f t="shared" si="5"/>
        <v>PB10-Care Delivery and Coordination</v>
      </c>
      <c r="K46" s="20" t="s">
        <v>458</v>
      </c>
      <c r="L46" s="20">
        <v>1</v>
      </c>
    </row>
    <row r="47" spans="1:12" ht="29" x14ac:dyDescent="0.35">
      <c r="A47" s="18" t="s">
        <v>269</v>
      </c>
      <c r="B47" s="21" t="str">
        <f t="shared" si="3"/>
        <v>Care Delivery and Coordination</v>
      </c>
      <c r="C47" s="18" t="s">
        <v>272</v>
      </c>
      <c r="D47" s="21" t="str">
        <f>IF(I47="OBA Domain Level 0","",(IF(I47="OBA Function Level 1",G47,(INDEX(F:G,(MATCH(C47,F:F,0)),2)))))</f>
        <v>Provider Clinical Workflow</v>
      </c>
      <c r="E47" s="21" t="str">
        <f t="shared" si="4"/>
        <v>Care Delivery and Coordination.Provider Clinical Workflow</v>
      </c>
      <c r="F47" s="18" t="s">
        <v>272</v>
      </c>
      <c r="G47" s="18" t="s">
        <v>273</v>
      </c>
      <c r="H47" s="18" t="s">
        <v>274</v>
      </c>
      <c r="I47" s="18" t="s">
        <v>141</v>
      </c>
      <c r="J47" s="21" t="str">
        <f t="shared" si="5"/>
        <v xml:space="preserve"> PB10.1-Provider Clinical Workflow</v>
      </c>
      <c r="K47" s="21"/>
      <c r="L47" s="21">
        <v>1</v>
      </c>
    </row>
    <row r="48" spans="1:12" ht="29" x14ac:dyDescent="0.35">
      <c r="A48" s="18" t="s">
        <v>269</v>
      </c>
      <c r="B48" s="21" t="str">
        <f t="shared" si="3"/>
        <v>Care Delivery and Coordination</v>
      </c>
      <c r="C48" s="18" t="s">
        <v>275</v>
      </c>
      <c r="D48" s="21" t="str">
        <f>IF(I48="OBA Domain Level 0","",(IF(I48="OBA Function Level 1",G48,(INDEX(F:G,(MATCH(C48,F:F,0)),2)))))</f>
        <v>Provider Clinical Care</v>
      </c>
      <c r="E48" s="21" t="str">
        <f t="shared" si="4"/>
        <v>Care Delivery and Coordination.Provider Clinical Care</v>
      </c>
      <c r="F48" s="18" t="s">
        <v>275</v>
      </c>
      <c r="G48" s="18" t="s">
        <v>276</v>
      </c>
      <c r="H48" s="18" t="s">
        <v>277</v>
      </c>
      <c r="I48" s="18" t="s">
        <v>141</v>
      </c>
      <c r="J48" s="21" t="str">
        <f t="shared" si="5"/>
        <v xml:space="preserve"> PB10.2-Provider Clinical Care</v>
      </c>
      <c r="K48" s="21"/>
      <c r="L48" s="21">
        <v>1</v>
      </c>
    </row>
    <row r="49" spans="1:12" ht="29" x14ac:dyDescent="0.35">
      <c r="A49" s="18" t="s">
        <v>269</v>
      </c>
      <c r="B49" s="21" t="str">
        <f t="shared" si="3"/>
        <v>Care Delivery and Coordination</v>
      </c>
      <c r="C49" s="18" t="s">
        <v>278</v>
      </c>
      <c r="D49" s="21" t="str">
        <f>IF(I49="OBA Domain Level 0","",(IF(I49="OBA Function Level 1",G49,(INDEX(F:G,(MATCH(C49,F:F,0)),2)))))</f>
        <v>Provider Care Coordination</v>
      </c>
      <c r="E49" s="21" t="str">
        <f t="shared" si="4"/>
        <v>Care Delivery and Coordination.Provider Care Coordination</v>
      </c>
      <c r="F49" s="18" t="s">
        <v>278</v>
      </c>
      <c r="G49" s="18" t="s">
        <v>279</v>
      </c>
      <c r="H49" s="18" t="s">
        <v>280</v>
      </c>
      <c r="I49" s="18" t="s">
        <v>141</v>
      </c>
      <c r="J49" s="21" t="str">
        <f t="shared" si="5"/>
        <v xml:space="preserve"> PB10.3-Provider Care Coordination</v>
      </c>
      <c r="K49" s="21"/>
      <c r="L49" s="21">
        <v>1</v>
      </c>
    </row>
    <row r="50" spans="1:12" ht="58" x14ac:dyDescent="0.35">
      <c r="A50" s="17" t="s">
        <v>121</v>
      </c>
      <c r="B50" s="20" t="str">
        <f t="shared" si="3"/>
        <v>Finance</v>
      </c>
      <c r="C50" s="17" t="str">
        <f>A50</f>
        <v>CO-01</v>
      </c>
      <c r="D50" s="20" t="str">
        <f>B50</f>
        <v>Finance</v>
      </c>
      <c r="E50" s="20" t="str">
        <f t="shared" si="4"/>
        <v>Finance</v>
      </c>
      <c r="F50" s="17" t="s">
        <v>121</v>
      </c>
      <c r="G50" s="17" t="s">
        <v>122</v>
      </c>
      <c r="H50" s="17" t="s">
        <v>123</v>
      </c>
      <c r="I50" s="17" t="s">
        <v>124</v>
      </c>
      <c r="J50" s="20" t="str">
        <f t="shared" si="5"/>
        <v>CO-01-Finance</v>
      </c>
      <c r="K50" s="20" t="s">
        <v>474</v>
      </c>
      <c r="L50" s="20">
        <v>2</v>
      </c>
    </row>
    <row r="51" spans="1:12" ht="58" x14ac:dyDescent="0.35">
      <c r="A51" s="18" t="s">
        <v>121</v>
      </c>
      <c r="B51" s="21" t="str">
        <f t="shared" si="3"/>
        <v>Finance</v>
      </c>
      <c r="C51" s="18" t="s">
        <v>138</v>
      </c>
      <c r="D51" s="21" t="str">
        <f>IF(I51="OBA Domain Level 0","",(IF(I51="OBA Function Level 1",G51,(INDEX(F:G,(MATCH(C51,F:F,0)),2)))))</f>
        <v>Financial Management</v>
      </c>
      <c r="E51" s="21" t="str">
        <f t="shared" si="4"/>
        <v>Finance.Financial Management</v>
      </c>
      <c r="F51" s="18" t="s">
        <v>138</v>
      </c>
      <c r="G51" s="18" t="s">
        <v>139</v>
      </c>
      <c r="H51" s="18" t="s">
        <v>140</v>
      </c>
      <c r="I51" s="18" t="s">
        <v>141</v>
      </c>
      <c r="J51" s="21" t="str">
        <f t="shared" si="5"/>
        <v xml:space="preserve"> CO1.1-Financial Management</v>
      </c>
      <c r="K51" s="21" t="s">
        <v>475</v>
      </c>
      <c r="L51" s="21">
        <v>2</v>
      </c>
    </row>
    <row r="52" spans="1:12" ht="58" x14ac:dyDescent="0.35">
      <c r="A52" s="18" t="s">
        <v>121</v>
      </c>
      <c r="B52" s="21" t="str">
        <f t="shared" si="3"/>
        <v>Finance</v>
      </c>
      <c r="C52" s="18" t="s">
        <v>142</v>
      </c>
      <c r="D52" s="21" t="str">
        <f>IF(I52="OBA Domain Level 0","",(IF(I52="OBA Function Level 1",G52,(INDEX(F:G,(MATCH(C52,F:F,0)),2)))))</f>
        <v>Procurement</v>
      </c>
      <c r="E52" s="21" t="str">
        <f t="shared" si="4"/>
        <v>Finance.Procurement</v>
      </c>
      <c r="F52" s="18" t="s">
        <v>142</v>
      </c>
      <c r="G52" s="18" t="s">
        <v>143</v>
      </c>
      <c r="H52" s="18" t="s">
        <v>144</v>
      </c>
      <c r="I52" s="18" t="s">
        <v>141</v>
      </c>
      <c r="J52" s="21" t="str">
        <f t="shared" si="5"/>
        <v xml:space="preserve"> CO1.2-Procurement</v>
      </c>
      <c r="K52" s="21" t="s">
        <v>476</v>
      </c>
      <c r="L52" s="21">
        <v>2</v>
      </c>
    </row>
    <row r="53" spans="1:12" ht="58" x14ac:dyDescent="0.35">
      <c r="A53" s="17" t="s">
        <v>125</v>
      </c>
      <c r="B53" s="20" t="str">
        <f t="shared" si="3"/>
        <v>Information Technology</v>
      </c>
      <c r="C53" s="17" t="str">
        <f>A53</f>
        <v>CO-02</v>
      </c>
      <c r="D53" s="20" t="str">
        <f>B53</f>
        <v>Information Technology</v>
      </c>
      <c r="E53" s="20" t="str">
        <f t="shared" si="4"/>
        <v>Information Technology</v>
      </c>
      <c r="F53" s="17" t="s">
        <v>125</v>
      </c>
      <c r="G53" s="17" t="s">
        <v>126</v>
      </c>
      <c r="H53" s="17" t="s">
        <v>127</v>
      </c>
      <c r="I53" s="17" t="s">
        <v>124</v>
      </c>
      <c r="J53" s="20" t="str">
        <f t="shared" si="5"/>
        <v>CO-02-Information Technology</v>
      </c>
      <c r="K53" s="20" t="s">
        <v>480</v>
      </c>
      <c r="L53" s="20">
        <v>2</v>
      </c>
    </row>
    <row r="54" spans="1:12" ht="29" x14ac:dyDescent="0.35">
      <c r="A54" s="18" t="s">
        <v>125</v>
      </c>
      <c r="B54" s="21" t="str">
        <f t="shared" si="3"/>
        <v>Information Technology</v>
      </c>
      <c r="C54" s="18" t="s">
        <v>145</v>
      </c>
      <c r="D54" s="21" t="str">
        <f t="shared" ref="D54:D61" si="6">IF(I54="OBA Domain Level 0","",(IF(I54="OBA Function Level 1",G54,(INDEX(F:G,(MATCH(C54,F:F,0)),2)))))</f>
        <v>Governance and Management</v>
      </c>
      <c r="E54" s="21" t="str">
        <f t="shared" si="4"/>
        <v>Information Technology.Governance and Management</v>
      </c>
      <c r="F54" s="18" t="s">
        <v>145</v>
      </c>
      <c r="G54" s="18" t="s">
        <v>146</v>
      </c>
      <c r="H54" s="18" t="s">
        <v>147</v>
      </c>
      <c r="I54" s="18" t="s">
        <v>141</v>
      </c>
      <c r="J54" s="21" t="str">
        <f t="shared" si="5"/>
        <v xml:space="preserve"> CO2.1-Governance and Management</v>
      </c>
      <c r="K54" s="21" t="s">
        <v>481</v>
      </c>
      <c r="L54" s="21">
        <v>2</v>
      </c>
    </row>
    <row r="55" spans="1:12" ht="29" x14ac:dyDescent="0.35">
      <c r="A55" s="18" t="s">
        <v>125</v>
      </c>
      <c r="B55" s="21" t="str">
        <f t="shared" si="3"/>
        <v>Information Technology</v>
      </c>
      <c r="C55" s="18" t="s">
        <v>148</v>
      </c>
      <c r="D55" s="21" t="str">
        <f t="shared" si="6"/>
        <v>Customer Relationships</v>
      </c>
      <c r="E55" s="21" t="str">
        <f t="shared" si="4"/>
        <v>Information Technology.Customer Relationships</v>
      </c>
      <c r="F55" s="18" t="s">
        <v>148</v>
      </c>
      <c r="G55" s="18" t="s">
        <v>149</v>
      </c>
      <c r="H55" s="18" t="s">
        <v>150</v>
      </c>
      <c r="I55" s="18" t="s">
        <v>141</v>
      </c>
      <c r="J55" s="21" t="str">
        <f t="shared" si="5"/>
        <v xml:space="preserve"> CO2.2-Customer Relationships</v>
      </c>
      <c r="K55" s="21" t="s">
        <v>482</v>
      </c>
      <c r="L55" s="21">
        <v>2</v>
      </c>
    </row>
    <row r="56" spans="1:12" ht="29" x14ac:dyDescent="0.35">
      <c r="A56" s="18" t="s">
        <v>125</v>
      </c>
      <c r="B56" s="21" t="str">
        <f t="shared" si="3"/>
        <v>Information Technology</v>
      </c>
      <c r="C56" s="18" t="s">
        <v>151</v>
      </c>
      <c r="D56" s="21" t="str">
        <f t="shared" si="6"/>
        <v>Strategy and Direction</v>
      </c>
      <c r="E56" s="21" t="str">
        <f t="shared" si="4"/>
        <v>Information Technology.Strategy and Direction</v>
      </c>
      <c r="F56" s="18" t="s">
        <v>151</v>
      </c>
      <c r="G56" s="18" t="s">
        <v>152</v>
      </c>
      <c r="H56" s="18" t="s">
        <v>153</v>
      </c>
      <c r="I56" s="18" t="s">
        <v>141</v>
      </c>
      <c r="J56" s="21" t="str">
        <f t="shared" si="5"/>
        <v xml:space="preserve"> CO2.3-Strategy and Direction</v>
      </c>
      <c r="K56" s="21" t="s">
        <v>483</v>
      </c>
      <c r="L56" s="21">
        <v>2</v>
      </c>
    </row>
    <row r="57" spans="1:12" ht="29" x14ac:dyDescent="0.35">
      <c r="A57" s="18" t="s">
        <v>125</v>
      </c>
      <c r="B57" s="21" t="str">
        <f t="shared" si="3"/>
        <v>Information Technology</v>
      </c>
      <c r="C57" s="18" t="s">
        <v>154</v>
      </c>
      <c r="D57" s="21" t="str">
        <f t="shared" si="6"/>
        <v>Design and Realization</v>
      </c>
      <c r="E57" s="21" t="str">
        <f t="shared" si="4"/>
        <v>Information Technology.Design and Realization</v>
      </c>
      <c r="F57" s="18" t="s">
        <v>154</v>
      </c>
      <c r="G57" s="18" t="s">
        <v>155</v>
      </c>
      <c r="H57" s="18" t="s">
        <v>156</v>
      </c>
      <c r="I57" s="18" t="s">
        <v>141</v>
      </c>
      <c r="J57" s="21" t="str">
        <f t="shared" si="5"/>
        <v xml:space="preserve"> CO2.4-Design and Realization</v>
      </c>
      <c r="K57" s="21" t="s">
        <v>484</v>
      </c>
      <c r="L57" s="21">
        <v>2</v>
      </c>
    </row>
    <row r="58" spans="1:12" ht="29" x14ac:dyDescent="0.35">
      <c r="A58" s="18" t="s">
        <v>125</v>
      </c>
      <c r="B58" s="21" t="str">
        <f t="shared" si="3"/>
        <v>Information Technology</v>
      </c>
      <c r="C58" s="18" t="s">
        <v>157</v>
      </c>
      <c r="D58" s="21" t="str">
        <f t="shared" si="6"/>
        <v>Transition</v>
      </c>
      <c r="E58" s="21" t="str">
        <f t="shared" si="4"/>
        <v>Information Technology.Transition</v>
      </c>
      <c r="F58" s="18" t="s">
        <v>157</v>
      </c>
      <c r="G58" s="18" t="s">
        <v>158</v>
      </c>
      <c r="H58" s="18" t="s">
        <v>159</v>
      </c>
      <c r="I58" s="18" t="s">
        <v>141</v>
      </c>
      <c r="J58" s="21" t="str">
        <f t="shared" si="5"/>
        <v xml:space="preserve"> CO2.5-Transition</v>
      </c>
      <c r="K58" s="21" t="s">
        <v>485</v>
      </c>
      <c r="L58" s="21">
        <v>2</v>
      </c>
    </row>
    <row r="59" spans="1:12" x14ac:dyDescent="0.35">
      <c r="A59" s="18" t="s">
        <v>125</v>
      </c>
      <c r="B59" s="21" t="str">
        <f t="shared" si="3"/>
        <v>Information Technology</v>
      </c>
      <c r="C59" s="18" t="s">
        <v>160</v>
      </c>
      <c r="D59" s="21" t="str">
        <f t="shared" si="6"/>
        <v>Operations</v>
      </c>
      <c r="E59" s="21" t="str">
        <f t="shared" si="4"/>
        <v>Information Technology.Operations</v>
      </c>
      <c r="F59" s="18" t="s">
        <v>160</v>
      </c>
      <c r="G59" s="18" t="s">
        <v>161</v>
      </c>
      <c r="H59" s="18" t="s">
        <v>162</v>
      </c>
      <c r="I59" s="18" t="s">
        <v>141</v>
      </c>
      <c r="J59" s="21" t="str">
        <f t="shared" si="5"/>
        <v xml:space="preserve"> CO2.6-Operations</v>
      </c>
      <c r="K59" s="21" t="s">
        <v>486</v>
      </c>
      <c r="L59" s="21">
        <v>2</v>
      </c>
    </row>
    <row r="60" spans="1:12" x14ac:dyDescent="0.35">
      <c r="A60" s="18" t="s">
        <v>125</v>
      </c>
      <c r="B60" s="21" t="str">
        <f t="shared" si="3"/>
        <v>Information Technology</v>
      </c>
      <c r="C60" s="18" t="s">
        <v>163</v>
      </c>
      <c r="D60" s="21" t="str">
        <f t="shared" si="6"/>
        <v>Resilience</v>
      </c>
      <c r="E60" s="21" t="str">
        <f t="shared" si="4"/>
        <v>Information Technology.Resilience</v>
      </c>
      <c r="F60" s="18" t="s">
        <v>163</v>
      </c>
      <c r="G60" s="18" t="s">
        <v>164</v>
      </c>
      <c r="H60" s="18" t="s">
        <v>165</v>
      </c>
      <c r="I60" s="18" t="s">
        <v>141</v>
      </c>
      <c r="J60" s="21" t="str">
        <f t="shared" si="5"/>
        <v xml:space="preserve"> CO2.7-Resilience</v>
      </c>
      <c r="K60" s="21" t="s">
        <v>487</v>
      </c>
      <c r="L60" s="21">
        <v>2</v>
      </c>
    </row>
    <row r="61" spans="1:12" ht="29" x14ac:dyDescent="0.35">
      <c r="A61" s="18" t="s">
        <v>125</v>
      </c>
      <c r="B61" s="21" t="str">
        <f t="shared" si="3"/>
        <v>Information Technology</v>
      </c>
      <c r="C61" s="18" t="s">
        <v>166</v>
      </c>
      <c r="D61" s="21" t="str">
        <f t="shared" si="6"/>
        <v>Administration</v>
      </c>
      <c r="E61" s="21" t="str">
        <f t="shared" si="4"/>
        <v>Information Technology.Administration</v>
      </c>
      <c r="F61" s="18" t="s">
        <v>166</v>
      </c>
      <c r="G61" s="18" t="s">
        <v>167</v>
      </c>
      <c r="H61" s="18" t="s">
        <v>168</v>
      </c>
      <c r="I61" s="18" t="s">
        <v>141</v>
      </c>
      <c r="J61" s="21" t="str">
        <f t="shared" si="5"/>
        <v xml:space="preserve"> CO2.8-Administration</v>
      </c>
      <c r="K61" s="21" t="s">
        <v>488</v>
      </c>
      <c r="L61" s="21">
        <v>2</v>
      </c>
    </row>
    <row r="62" spans="1:12" ht="304.5" x14ac:dyDescent="0.35">
      <c r="A62" s="17" t="s">
        <v>128</v>
      </c>
      <c r="B62" s="20" t="str">
        <f t="shared" si="3"/>
        <v>Analytics</v>
      </c>
      <c r="C62" s="17" t="str">
        <f>A62</f>
        <v>CO-03</v>
      </c>
      <c r="D62" s="20" t="str">
        <f>B62</f>
        <v>Analytics</v>
      </c>
      <c r="E62" s="20" t="str">
        <f t="shared" si="4"/>
        <v>Analytics</v>
      </c>
      <c r="F62" s="17" t="s">
        <v>128</v>
      </c>
      <c r="G62" s="17" t="s">
        <v>449</v>
      </c>
      <c r="H62" s="17" t="s">
        <v>129</v>
      </c>
      <c r="I62" s="17" t="s">
        <v>124</v>
      </c>
      <c r="J62" s="20" t="str">
        <f t="shared" si="5"/>
        <v>CO-03-Analytics</v>
      </c>
      <c r="K62" s="20" t="s">
        <v>551</v>
      </c>
      <c r="L62" s="20">
        <v>2</v>
      </c>
    </row>
    <row r="63" spans="1:12" ht="43.5" x14ac:dyDescent="0.35">
      <c r="A63" s="18" t="s">
        <v>128</v>
      </c>
      <c r="B63" s="21" t="str">
        <f t="shared" si="3"/>
        <v>Analytics</v>
      </c>
      <c r="C63" s="18" t="s">
        <v>169</v>
      </c>
      <c r="D63" s="21" t="str">
        <f t="shared" ref="D63:D74" si="7">IF(I63="OBA Domain Level 0","",(IF(I63="OBA Function Level 1",G63,(INDEX(F:G,(MATCH(C63,F:F,0)),2)))))</f>
        <v>Information Management (Level1)</v>
      </c>
      <c r="E63" s="21" t="str">
        <f t="shared" si="4"/>
        <v>Analytics.Information Management (Level1)</v>
      </c>
      <c r="F63" s="18" t="s">
        <v>169</v>
      </c>
      <c r="G63" s="18" t="s">
        <v>170</v>
      </c>
      <c r="H63" s="18" t="s">
        <v>171</v>
      </c>
      <c r="I63" s="18" t="s">
        <v>141</v>
      </c>
      <c r="J63" s="21" t="str">
        <f t="shared" si="5"/>
        <v xml:space="preserve"> CO3.0-Information Management (Level1)</v>
      </c>
      <c r="K63" s="21"/>
      <c r="L63" s="21">
        <v>2</v>
      </c>
    </row>
    <row r="64" spans="1:12" ht="29" x14ac:dyDescent="0.35">
      <c r="A64" s="18" t="s">
        <v>128</v>
      </c>
      <c r="B64" s="21" t="str">
        <f t="shared" si="3"/>
        <v>Analytics</v>
      </c>
      <c r="C64" s="18" t="s">
        <v>172</v>
      </c>
      <c r="D64" s="21" t="str">
        <f t="shared" si="7"/>
        <v>Consumer Analytics and Reporting</v>
      </c>
      <c r="E64" s="21" t="str">
        <f t="shared" si="4"/>
        <v>Analytics.Consumer Analytics and Reporting</v>
      </c>
      <c r="F64" s="18" t="s">
        <v>172</v>
      </c>
      <c r="G64" s="18" t="s">
        <v>173</v>
      </c>
      <c r="H64" s="18" t="s">
        <v>174</v>
      </c>
      <c r="I64" s="18" t="s">
        <v>141</v>
      </c>
      <c r="J64" s="21" t="str">
        <f t="shared" si="5"/>
        <v xml:space="preserve"> CO3.1-Consumer Analytics and Reporting</v>
      </c>
      <c r="K64" s="21"/>
      <c r="L64" s="21">
        <v>2</v>
      </c>
    </row>
    <row r="65" spans="1:12" ht="29" x14ac:dyDescent="0.35">
      <c r="A65" s="18" t="s">
        <v>128</v>
      </c>
      <c r="B65" s="21" t="str">
        <f t="shared" si="3"/>
        <v>Analytics</v>
      </c>
      <c r="C65" s="18" t="s">
        <v>175</v>
      </c>
      <c r="D65" s="21" t="str">
        <f t="shared" si="7"/>
        <v>Analytics Platform Management</v>
      </c>
      <c r="E65" s="21" t="str">
        <f t="shared" si="4"/>
        <v>Analytics.Analytics Platform Management</v>
      </c>
      <c r="F65" s="18" t="s">
        <v>175</v>
      </c>
      <c r="G65" s="18" t="s">
        <v>176</v>
      </c>
      <c r="H65" s="18" t="s">
        <v>177</v>
      </c>
      <c r="I65" s="18" t="s">
        <v>141</v>
      </c>
      <c r="J65" s="21" t="str">
        <f t="shared" si="5"/>
        <v xml:space="preserve"> CO3.10-Analytics Platform Management</v>
      </c>
      <c r="K65" s="21"/>
      <c r="L65" s="21">
        <v>2</v>
      </c>
    </row>
    <row r="66" spans="1:12" ht="29" x14ac:dyDescent="0.35">
      <c r="A66" s="18" t="s">
        <v>128</v>
      </c>
      <c r="B66" s="21" t="str">
        <f t="shared" ref="B66:B87" si="8">IF((ISBLANK(A66)),G66,(INDEX($F:$G,(MATCH(A66,F:F,0)),2)))</f>
        <v>Analytics</v>
      </c>
      <c r="C66" s="18" t="s">
        <v>178</v>
      </c>
      <c r="D66" s="21" t="str">
        <f t="shared" si="7"/>
        <v>Analytics Program Governance</v>
      </c>
      <c r="E66" s="21" t="str">
        <f t="shared" ref="E66:E87" si="9">IF(I66="OBA Domain Level 0",B66,(IF(I66="OBA Function Level 1",(CONCATENATE(B66,".",D66)),(CONCATENATE(B66,".",D66,".",G66)))))</f>
        <v>Analytics.Analytics Program Governance</v>
      </c>
      <c r="F66" s="18" t="s">
        <v>178</v>
      </c>
      <c r="G66" s="18" t="s">
        <v>179</v>
      </c>
      <c r="H66" s="18" t="s">
        <v>180</v>
      </c>
      <c r="I66" s="18" t="s">
        <v>141</v>
      </c>
      <c r="J66" s="21" t="str">
        <f t="shared" ref="J66:J87" si="10">IF(I66="OBA Domain Level 0",(CONCATENATE(C66,"-",D66)),(IF(I66="OBA Function Level 1",(CONCATENATE(" ", C66,"-",D66)),(CONCATENATE(" ", C66,"-",G66)))))</f>
        <v xml:space="preserve"> CO3.11-Analytics Program Governance</v>
      </c>
      <c r="K66" s="21"/>
      <c r="L66" s="21">
        <v>2</v>
      </c>
    </row>
    <row r="67" spans="1:12" ht="29" x14ac:dyDescent="0.35">
      <c r="A67" s="18" t="s">
        <v>128</v>
      </c>
      <c r="B67" s="21" t="str">
        <f t="shared" si="8"/>
        <v>Analytics</v>
      </c>
      <c r="C67" s="18" t="s">
        <v>181</v>
      </c>
      <c r="D67" s="21" t="str">
        <f t="shared" si="7"/>
        <v>Client Analytics and Reporting</v>
      </c>
      <c r="E67" s="21" t="str">
        <f t="shared" si="9"/>
        <v>Analytics.Client Analytics and Reporting</v>
      </c>
      <c r="F67" s="18" t="s">
        <v>181</v>
      </c>
      <c r="G67" s="18" t="s">
        <v>182</v>
      </c>
      <c r="H67" s="18" t="s">
        <v>183</v>
      </c>
      <c r="I67" s="18" t="s">
        <v>141</v>
      </c>
      <c r="J67" s="21" t="str">
        <f t="shared" si="10"/>
        <v xml:space="preserve"> CO3.2-Client Analytics and Reporting</v>
      </c>
      <c r="K67" s="21"/>
      <c r="L67" s="21">
        <v>2</v>
      </c>
    </row>
    <row r="68" spans="1:12" ht="29" x14ac:dyDescent="0.35">
      <c r="A68" s="18" t="s">
        <v>128</v>
      </c>
      <c r="B68" s="21" t="str">
        <f t="shared" si="8"/>
        <v>Analytics</v>
      </c>
      <c r="C68" s="18" t="s">
        <v>184</v>
      </c>
      <c r="D68" s="21" t="str">
        <f t="shared" si="7"/>
        <v>Provider Analytics and Reporting</v>
      </c>
      <c r="E68" s="21" t="str">
        <f t="shared" si="9"/>
        <v>Analytics.Provider Analytics and Reporting</v>
      </c>
      <c r="F68" s="18" t="s">
        <v>184</v>
      </c>
      <c r="G68" s="18" t="s">
        <v>185</v>
      </c>
      <c r="H68" s="18" t="s">
        <v>186</v>
      </c>
      <c r="I68" s="18" t="s">
        <v>141</v>
      </c>
      <c r="J68" s="21" t="str">
        <f t="shared" si="10"/>
        <v xml:space="preserve"> CO3.3-Provider Analytics and Reporting</v>
      </c>
      <c r="K68" s="21"/>
      <c r="L68" s="21">
        <v>2</v>
      </c>
    </row>
    <row r="69" spans="1:12" ht="29" x14ac:dyDescent="0.35">
      <c r="A69" s="18" t="s">
        <v>128</v>
      </c>
      <c r="B69" s="21" t="str">
        <f t="shared" si="8"/>
        <v>Analytics</v>
      </c>
      <c r="C69" s="18" t="s">
        <v>187</v>
      </c>
      <c r="D69" s="21" t="str">
        <f t="shared" si="7"/>
        <v>Financial Analytics and Reporting</v>
      </c>
      <c r="E69" s="21" t="str">
        <f t="shared" si="9"/>
        <v>Analytics.Financial Analytics and Reporting</v>
      </c>
      <c r="F69" s="18" t="s">
        <v>187</v>
      </c>
      <c r="G69" s="18" t="s">
        <v>188</v>
      </c>
      <c r="H69" s="18" t="s">
        <v>189</v>
      </c>
      <c r="I69" s="18" t="s">
        <v>141</v>
      </c>
      <c r="J69" s="21" t="str">
        <f t="shared" si="10"/>
        <v xml:space="preserve"> CO3.4-Financial Analytics and Reporting</v>
      </c>
      <c r="K69" s="21"/>
      <c r="L69" s="21">
        <v>2</v>
      </c>
    </row>
    <row r="70" spans="1:12" ht="29" x14ac:dyDescent="0.35">
      <c r="A70" s="18" t="s">
        <v>128</v>
      </c>
      <c r="B70" s="21" t="str">
        <f t="shared" si="8"/>
        <v>Analytics</v>
      </c>
      <c r="C70" s="18" t="s">
        <v>190</v>
      </c>
      <c r="D70" s="21" t="str">
        <f t="shared" si="7"/>
        <v>Revenue Analytics and Reporting</v>
      </c>
      <c r="E70" s="21" t="str">
        <f t="shared" si="9"/>
        <v>Analytics.Revenue Analytics and Reporting</v>
      </c>
      <c r="F70" s="18" t="s">
        <v>190</v>
      </c>
      <c r="G70" s="18" t="s">
        <v>191</v>
      </c>
      <c r="H70" s="18" t="s">
        <v>192</v>
      </c>
      <c r="I70" s="18" t="s">
        <v>141</v>
      </c>
      <c r="J70" s="21" t="str">
        <f t="shared" si="10"/>
        <v xml:space="preserve"> CO3.5-Revenue Analytics and Reporting</v>
      </c>
      <c r="K70" s="21"/>
      <c r="L70" s="21">
        <v>2</v>
      </c>
    </row>
    <row r="71" spans="1:12" ht="29" x14ac:dyDescent="0.35">
      <c r="A71" s="18" t="s">
        <v>128</v>
      </c>
      <c r="B71" s="21" t="str">
        <f t="shared" si="8"/>
        <v>Analytics</v>
      </c>
      <c r="C71" s="18" t="s">
        <v>193</v>
      </c>
      <c r="D71" s="21" t="str">
        <f t="shared" si="7"/>
        <v>Underwriting Analytics</v>
      </c>
      <c r="E71" s="21" t="str">
        <f t="shared" si="9"/>
        <v>Analytics.Underwriting Analytics</v>
      </c>
      <c r="F71" s="18" t="s">
        <v>193</v>
      </c>
      <c r="G71" s="18" t="s">
        <v>194</v>
      </c>
      <c r="H71" s="18" t="s">
        <v>195</v>
      </c>
      <c r="I71" s="18" t="s">
        <v>141</v>
      </c>
      <c r="J71" s="21" t="str">
        <f t="shared" si="10"/>
        <v xml:space="preserve"> CO3.6-Underwriting Analytics</v>
      </c>
      <c r="K71" s="21"/>
      <c r="L71" s="21">
        <v>2</v>
      </c>
    </row>
    <row r="72" spans="1:12" ht="66" customHeight="1" x14ac:dyDescent="0.35">
      <c r="A72" s="18" t="s">
        <v>128</v>
      </c>
      <c r="B72" s="21" t="str">
        <f t="shared" si="8"/>
        <v>Analytics</v>
      </c>
      <c r="C72" s="18" t="s">
        <v>196</v>
      </c>
      <c r="D72" s="21" t="str">
        <f t="shared" si="7"/>
        <v>Service Operations Analytics and Reporting</v>
      </c>
      <c r="E72" s="21" t="str">
        <f t="shared" si="9"/>
        <v>Analytics.Service Operations Analytics and Reporting</v>
      </c>
      <c r="F72" s="18" t="s">
        <v>196</v>
      </c>
      <c r="G72" s="18" t="s">
        <v>197</v>
      </c>
      <c r="H72" s="18" t="s">
        <v>198</v>
      </c>
      <c r="I72" s="18" t="s">
        <v>141</v>
      </c>
      <c r="J72" s="21" t="str">
        <f t="shared" si="10"/>
        <v xml:space="preserve"> CO3.7-Service Operations Analytics and Reporting</v>
      </c>
      <c r="K72" s="21"/>
      <c r="L72" s="21">
        <v>2</v>
      </c>
    </row>
    <row r="73" spans="1:12" ht="29" x14ac:dyDescent="0.35">
      <c r="A73" s="18" t="s">
        <v>128</v>
      </c>
      <c r="B73" s="21" t="str">
        <f t="shared" si="8"/>
        <v>Analytics</v>
      </c>
      <c r="C73" s="18" t="s">
        <v>199</v>
      </c>
      <c r="D73" s="21" t="str">
        <f t="shared" si="7"/>
        <v>Mandate and Regulatory Reporting</v>
      </c>
      <c r="E73" s="21" t="str">
        <f t="shared" si="9"/>
        <v>Analytics.Mandate and Regulatory Reporting</v>
      </c>
      <c r="F73" s="18" t="s">
        <v>199</v>
      </c>
      <c r="G73" s="18" t="s">
        <v>200</v>
      </c>
      <c r="H73" s="18" t="s">
        <v>201</v>
      </c>
      <c r="I73" s="18" t="s">
        <v>141</v>
      </c>
      <c r="J73" s="21" t="str">
        <f t="shared" si="10"/>
        <v xml:space="preserve"> CO3.8-Mandate and Regulatory Reporting</v>
      </c>
      <c r="K73" s="21"/>
      <c r="L73" s="21">
        <v>2</v>
      </c>
    </row>
    <row r="74" spans="1:12" ht="29" x14ac:dyDescent="0.35">
      <c r="A74" s="18" t="s">
        <v>128</v>
      </c>
      <c r="B74" s="21" t="str">
        <f t="shared" si="8"/>
        <v>Analytics</v>
      </c>
      <c r="C74" s="18" t="s">
        <v>202</v>
      </c>
      <c r="D74" s="21" t="str">
        <f t="shared" si="7"/>
        <v>Analytics Program Integrity</v>
      </c>
      <c r="E74" s="21" t="str">
        <f t="shared" si="9"/>
        <v>Analytics.Analytics Program Integrity</v>
      </c>
      <c r="F74" s="18" t="s">
        <v>202</v>
      </c>
      <c r="G74" s="18" t="s">
        <v>203</v>
      </c>
      <c r="H74" s="18" t="s">
        <v>204</v>
      </c>
      <c r="I74" s="18" t="s">
        <v>141</v>
      </c>
      <c r="J74" s="21" t="str">
        <f t="shared" si="10"/>
        <v xml:space="preserve"> CO3.9-Analytics Program Integrity</v>
      </c>
      <c r="K74" s="21"/>
      <c r="L74" s="21">
        <v>2</v>
      </c>
    </row>
    <row r="75" spans="1:12" ht="58" x14ac:dyDescent="0.35">
      <c r="A75" s="17" t="s">
        <v>130</v>
      </c>
      <c r="B75" s="20" t="str">
        <f t="shared" si="8"/>
        <v>Human Resources</v>
      </c>
      <c r="C75" s="17" t="str">
        <f>A75</f>
        <v>CO-04</v>
      </c>
      <c r="D75" s="20" t="str">
        <f>B75</f>
        <v>Human Resources</v>
      </c>
      <c r="E75" s="20" t="str">
        <f t="shared" si="9"/>
        <v>Human Resources</v>
      </c>
      <c r="F75" s="17" t="s">
        <v>130</v>
      </c>
      <c r="G75" s="17" t="s">
        <v>131</v>
      </c>
      <c r="H75" s="17" t="s">
        <v>132</v>
      </c>
      <c r="I75" s="17" t="s">
        <v>124</v>
      </c>
      <c r="J75" s="20" t="str">
        <f t="shared" si="10"/>
        <v>CO-04-Human Resources</v>
      </c>
      <c r="K75" s="20" t="s">
        <v>477</v>
      </c>
      <c r="L75" s="20">
        <v>2</v>
      </c>
    </row>
    <row r="76" spans="1:12" x14ac:dyDescent="0.35">
      <c r="A76" s="18" t="s">
        <v>130</v>
      </c>
      <c r="B76" s="21" t="str">
        <f t="shared" si="8"/>
        <v>Human Resources</v>
      </c>
      <c r="C76" s="18" t="s">
        <v>205</v>
      </c>
      <c r="D76" s="21" t="str">
        <f>IF(I76="OBA Domain Level 0","",(IF(I76="OBA Function Level 1",G76,(INDEX(F:G,(MATCH(C76,F:F,0)),2)))))</f>
        <v>Talent Management</v>
      </c>
      <c r="E76" s="21" t="str">
        <f t="shared" si="9"/>
        <v>Human Resources.Talent Management</v>
      </c>
      <c r="F76" s="18" t="s">
        <v>205</v>
      </c>
      <c r="G76" s="18" t="s">
        <v>206</v>
      </c>
      <c r="H76" s="18" t="s">
        <v>207</v>
      </c>
      <c r="I76" s="18" t="s">
        <v>141</v>
      </c>
      <c r="J76" s="21" t="str">
        <f t="shared" si="10"/>
        <v xml:space="preserve"> CO4.1-Talent Management</v>
      </c>
      <c r="K76" s="21" t="s">
        <v>478</v>
      </c>
      <c r="L76" s="21">
        <v>2</v>
      </c>
    </row>
    <row r="77" spans="1:12" x14ac:dyDescent="0.35">
      <c r="A77" s="18" t="s">
        <v>130</v>
      </c>
      <c r="B77" s="21" t="str">
        <f t="shared" si="8"/>
        <v>Human Resources</v>
      </c>
      <c r="C77" s="18" t="s">
        <v>208</v>
      </c>
      <c r="D77" s="21" t="str">
        <f>IF(I77="OBA Domain Level 0","",(IF(I77="OBA Function Level 1",G77,(INDEX(F:G,(MATCH(C77,F:F,0)),2)))))</f>
        <v>HR Administration</v>
      </c>
      <c r="E77" s="21" t="str">
        <f t="shared" si="9"/>
        <v>Human Resources.HR Administration</v>
      </c>
      <c r="F77" s="18" t="s">
        <v>208</v>
      </c>
      <c r="G77" s="18" t="s">
        <v>209</v>
      </c>
      <c r="H77" s="18" t="s">
        <v>210</v>
      </c>
      <c r="I77" s="18" t="s">
        <v>141</v>
      </c>
      <c r="J77" s="21" t="str">
        <f t="shared" si="10"/>
        <v xml:space="preserve"> CO4.2-HR Administration</v>
      </c>
      <c r="K77" s="21" t="s">
        <v>479</v>
      </c>
      <c r="L77" s="21">
        <v>2</v>
      </c>
    </row>
    <row r="78" spans="1:12" ht="29" x14ac:dyDescent="0.35">
      <c r="A78" s="17" t="s">
        <v>133</v>
      </c>
      <c r="B78" s="20" t="str">
        <f t="shared" si="8"/>
        <v>Legal &amp; Compliance</v>
      </c>
      <c r="C78" s="17" t="str">
        <f>A78</f>
        <v>CO-05</v>
      </c>
      <c r="D78" s="20" t="str">
        <f>B78</f>
        <v>Legal &amp; Compliance</v>
      </c>
      <c r="E78" s="20" t="str">
        <f t="shared" si="9"/>
        <v>Legal &amp; Compliance</v>
      </c>
      <c r="F78" s="17" t="s">
        <v>133</v>
      </c>
      <c r="G78" s="17" t="s">
        <v>489</v>
      </c>
      <c r="H78" s="17" t="s">
        <v>134</v>
      </c>
      <c r="I78" s="17" t="s">
        <v>124</v>
      </c>
      <c r="J78" s="20" t="str">
        <f t="shared" si="10"/>
        <v>CO-05-Legal &amp; Compliance</v>
      </c>
      <c r="K78" s="20" t="s">
        <v>490</v>
      </c>
      <c r="L78" s="20">
        <v>2</v>
      </c>
    </row>
    <row r="79" spans="1:12" ht="43.5" x14ac:dyDescent="0.35">
      <c r="A79" s="18" t="s">
        <v>133</v>
      </c>
      <c r="B79" s="21" t="str">
        <f t="shared" si="8"/>
        <v>Legal &amp; Compliance</v>
      </c>
      <c r="C79" s="18" t="s">
        <v>211</v>
      </c>
      <c r="D79" s="21" t="str">
        <f>IF(I79="OBA Domain Level 0","",(IF(I79="OBA Function Level 1",G79,(INDEX(F:G,(MATCH(C79,F:F,0)),2)))))</f>
        <v>Legal Services</v>
      </c>
      <c r="E79" s="21" t="str">
        <f t="shared" si="9"/>
        <v>Legal &amp; Compliance.Legal Services</v>
      </c>
      <c r="F79" s="18" t="s">
        <v>211</v>
      </c>
      <c r="G79" s="18" t="s">
        <v>212</v>
      </c>
      <c r="H79" s="18" t="s">
        <v>213</v>
      </c>
      <c r="I79" s="18" t="s">
        <v>141</v>
      </c>
      <c r="J79" s="21" t="str">
        <f t="shared" si="10"/>
        <v xml:space="preserve"> CO5.1-Legal Services</v>
      </c>
      <c r="K79" s="21" t="s">
        <v>491</v>
      </c>
      <c r="L79" s="21">
        <v>2</v>
      </c>
    </row>
    <row r="80" spans="1:12" ht="58" x14ac:dyDescent="0.35">
      <c r="A80" s="18" t="s">
        <v>133</v>
      </c>
      <c r="B80" s="21" t="str">
        <f t="shared" si="8"/>
        <v>Legal &amp; Compliance</v>
      </c>
      <c r="C80" s="18" t="s">
        <v>214</v>
      </c>
      <c r="D80" s="21" t="str">
        <f>IF(I80="OBA Domain Level 0","",(IF(I80="OBA Function Level 1",G80,(INDEX(F:G,(MATCH(C80,F:F,0)),2)))))</f>
        <v>Compliance Management</v>
      </c>
      <c r="E80" s="21" t="str">
        <f t="shared" si="9"/>
        <v>Legal &amp; Compliance.Compliance Management</v>
      </c>
      <c r="F80" s="18" t="s">
        <v>214</v>
      </c>
      <c r="G80" s="18" t="s">
        <v>215</v>
      </c>
      <c r="H80" s="18" t="s">
        <v>216</v>
      </c>
      <c r="I80" s="18" t="s">
        <v>141</v>
      </c>
      <c r="J80" s="21" t="str">
        <f t="shared" si="10"/>
        <v xml:space="preserve"> CO5.2-Compliance Management</v>
      </c>
      <c r="K80" s="21" t="s">
        <v>492</v>
      </c>
      <c r="L80" s="21">
        <v>2</v>
      </c>
    </row>
    <row r="81" spans="1:12" x14ac:dyDescent="0.35">
      <c r="A81" s="18" t="s">
        <v>133</v>
      </c>
      <c r="B81" s="21" t="str">
        <f t="shared" si="8"/>
        <v>Legal &amp; Compliance</v>
      </c>
      <c r="C81" s="18" t="s">
        <v>217</v>
      </c>
      <c r="D81" s="21" t="str">
        <f>IF(I81="OBA Domain Level 0","",(IF(I81="OBA Function Level 1",G81,(INDEX(F:G,(MATCH(C81,F:F,0)),2)))))</f>
        <v>Internal Audit</v>
      </c>
      <c r="E81" s="21" t="str">
        <f t="shared" si="9"/>
        <v>Legal &amp; Compliance.Internal Audit</v>
      </c>
      <c r="F81" s="18" t="s">
        <v>217</v>
      </c>
      <c r="G81" s="18" t="s">
        <v>218</v>
      </c>
      <c r="H81" s="18" t="s">
        <v>219</v>
      </c>
      <c r="I81" s="18" t="s">
        <v>141</v>
      </c>
      <c r="J81" s="21" t="str">
        <f t="shared" si="10"/>
        <v xml:space="preserve"> CO5.3-Internal Audit</v>
      </c>
      <c r="K81" s="21"/>
      <c r="L81" s="21">
        <v>2</v>
      </c>
    </row>
    <row r="82" spans="1:12" x14ac:dyDescent="0.35">
      <c r="A82" s="18" t="s">
        <v>133</v>
      </c>
      <c r="B82" s="21" t="str">
        <f t="shared" si="8"/>
        <v>Legal &amp; Compliance</v>
      </c>
      <c r="C82" s="18" t="s">
        <v>217</v>
      </c>
      <c r="D82" s="21" t="str">
        <f>IF(I82="OBA Domain Level 0","",(IF(I82="OBA Function Level 1",G82,(INDEX(F:G,(MATCH(C82,F:F,0)),2)))))</f>
        <v>Internal Audit 5.3</v>
      </c>
      <c r="E82" s="21" t="str">
        <f t="shared" si="9"/>
        <v>Legal &amp; Compliance.Internal Audit 5.3</v>
      </c>
      <c r="F82" s="18" t="s">
        <v>217</v>
      </c>
      <c r="G82" s="18" t="s">
        <v>220</v>
      </c>
      <c r="H82" s="18" t="s">
        <v>221</v>
      </c>
      <c r="I82" s="18" t="s">
        <v>141</v>
      </c>
      <c r="J82" s="21" t="str">
        <f t="shared" si="10"/>
        <v xml:space="preserve"> CO5.3-Internal Audit 5.3</v>
      </c>
      <c r="K82" s="21"/>
      <c r="L82" s="21">
        <v>2</v>
      </c>
    </row>
    <row r="83" spans="1:12" ht="29" x14ac:dyDescent="0.35">
      <c r="A83" s="17" t="s">
        <v>135</v>
      </c>
      <c r="B83" s="20" t="str">
        <f t="shared" si="8"/>
        <v>Shared Business Functions</v>
      </c>
      <c r="C83" s="17" t="str">
        <f>A83</f>
        <v>CO-06</v>
      </c>
      <c r="D83" s="20" t="str">
        <f>B83</f>
        <v>Shared Business Functions</v>
      </c>
      <c r="E83" s="20" t="str">
        <f t="shared" si="9"/>
        <v>Shared Business Functions</v>
      </c>
      <c r="F83" s="17" t="s">
        <v>135</v>
      </c>
      <c r="G83" s="17" t="s">
        <v>136</v>
      </c>
      <c r="H83" s="17" t="s">
        <v>137</v>
      </c>
      <c r="I83" s="17" t="s">
        <v>124</v>
      </c>
      <c r="J83" s="20" t="str">
        <f t="shared" si="10"/>
        <v>CO-06-Shared Business Functions</v>
      </c>
      <c r="K83" s="20" t="s">
        <v>517</v>
      </c>
      <c r="L83" s="20">
        <v>2</v>
      </c>
    </row>
    <row r="84" spans="1:12" ht="29" x14ac:dyDescent="0.35">
      <c r="A84" s="18" t="s">
        <v>135</v>
      </c>
      <c r="B84" s="21" t="str">
        <f t="shared" si="8"/>
        <v>Shared Business Functions</v>
      </c>
      <c r="C84" s="18" t="s">
        <v>222</v>
      </c>
      <c r="D84" s="21" t="str">
        <f>IF(I84="OBA Domain Level 0","",(IF(I84="OBA Function Level 1",G84,(INDEX(F:G,(MATCH(C84,F:F,0)),2)))))</f>
        <v>Content Management</v>
      </c>
      <c r="E84" s="21" t="str">
        <f t="shared" si="9"/>
        <v>Shared Business Functions.Content Management</v>
      </c>
      <c r="F84" s="18" t="s">
        <v>222</v>
      </c>
      <c r="G84" s="18" t="s">
        <v>223</v>
      </c>
      <c r="H84" s="18" t="s">
        <v>224</v>
      </c>
      <c r="I84" s="18" t="s">
        <v>141</v>
      </c>
      <c r="J84" s="21" t="str">
        <f t="shared" si="10"/>
        <v xml:space="preserve"> CO6.1-Content Management</v>
      </c>
      <c r="K84" s="21" t="s">
        <v>518</v>
      </c>
      <c r="L84" s="21">
        <v>2</v>
      </c>
    </row>
    <row r="85" spans="1:12" ht="43.5" x14ac:dyDescent="0.35">
      <c r="A85" s="18" t="s">
        <v>135</v>
      </c>
      <c r="B85" s="21" t="str">
        <f t="shared" si="8"/>
        <v>Shared Business Functions</v>
      </c>
      <c r="C85" s="18" t="s">
        <v>225</v>
      </c>
      <c r="D85" s="21" t="str">
        <f>IF(I85="OBA Domain Level 0","",(IF(I85="OBA Function Level 1",G85,(INDEX(F:G,(MATCH(C85,F:F,0)),2)))))</f>
        <v>Constituent Correspondence and Services</v>
      </c>
      <c r="E85" s="21" t="str">
        <f t="shared" si="9"/>
        <v>Shared Business Functions.Constituent Correspondence and Services</v>
      </c>
      <c r="F85" s="18" t="s">
        <v>225</v>
      </c>
      <c r="G85" s="18" t="s">
        <v>226</v>
      </c>
      <c r="H85" s="18" t="s">
        <v>227</v>
      </c>
      <c r="I85" s="18" t="s">
        <v>141</v>
      </c>
      <c r="J85" s="21" t="str">
        <f t="shared" si="10"/>
        <v xml:space="preserve"> CO6.2-Constituent Correspondence and Services</v>
      </c>
      <c r="K85" s="21" t="s">
        <v>519</v>
      </c>
      <c r="L85" s="21">
        <v>2</v>
      </c>
    </row>
    <row r="86" spans="1:12" ht="29" x14ac:dyDescent="0.35">
      <c r="A86" s="18" t="s">
        <v>135</v>
      </c>
      <c r="B86" s="21" t="str">
        <f t="shared" si="8"/>
        <v>Shared Business Functions</v>
      </c>
      <c r="C86" s="18" t="s">
        <v>228</v>
      </c>
      <c r="D86" s="21" t="str">
        <f>IF(I86="OBA Domain Level 0","",(IF(I86="OBA Function Level 1",G86,(INDEX(F:G,(MATCH(C86,F:F,0)),2)))))</f>
        <v>Data Exchange</v>
      </c>
      <c r="E86" s="21" t="str">
        <f t="shared" si="9"/>
        <v>Shared Business Functions.Data Exchange</v>
      </c>
      <c r="F86" s="18" t="s">
        <v>228</v>
      </c>
      <c r="G86" s="18" t="s">
        <v>229</v>
      </c>
      <c r="H86" s="18" t="s">
        <v>230</v>
      </c>
      <c r="I86" s="18" t="s">
        <v>141</v>
      </c>
      <c r="J86" s="21" t="str">
        <f t="shared" si="10"/>
        <v xml:space="preserve"> CO6.3-Data Exchange</v>
      </c>
      <c r="K86" s="21" t="s">
        <v>520</v>
      </c>
      <c r="L86" s="21">
        <v>2</v>
      </c>
    </row>
    <row r="87" spans="1:12" ht="29" x14ac:dyDescent="0.35">
      <c r="A87" s="18" t="s">
        <v>135</v>
      </c>
      <c r="B87" s="21" t="str">
        <f t="shared" si="8"/>
        <v>Shared Business Functions</v>
      </c>
      <c r="C87" s="18" t="s">
        <v>231</v>
      </c>
      <c r="D87" s="21" t="str">
        <f>IF(I87="OBA Domain Level 0","",(IF(I87="OBA Function Level 1",G87,(INDEX(F:G,(MATCH(C87,F:F,0)),2)))))</f>
        <v>Associate Services</v>
      </c>
      <c r="E87" s="21" t="str">
        <f t="shared" si="9"/>
        <v>Shared Business Functions.Associate Services</v>
      </c>
      <c r="F87" s="18" t="s">
        <v>231</v>
      </c>
      <c r="G87" s="18" t="s">
        <v>232</v>
      </c>
      <c r="H87" s="18" t="s">
        <v>233</v>
      </c>
      <c r="I87" s="18" t="s">
        <v>141</v>
      </c>
      <c r="J87" s="21" t="str">
        <f t="shared" si="10"/>
        <v xml:space="preserve"> CO6.4-Associate Services</v>
      </c>
      <c r="K87" s="21" t="s">
        <v>521</v>
      </c>
      <c r="L87" s="21">
        <v>2</v>
      </c>
    </row>
  </sheetData>
  <autoFilter ref="F1:IR87">
    <sortState ref="F2:KN1506">
      <sortCondition ref="I1:I1506"/>
    </sortState>
  </autoFilter>
  <sortState ref="A2:L87">
    <sortCondition ref="L2:L87"/>
    <sortCondition ref="A2:A87"/>
    <sortCondition ref="B2:B87"/>
  </sortState>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0.249977111117893"/>
  </sheetPr>
  <dimension ref="A2:A3"/>
  <sheetViews>
    <sheetView workbookViewId="0"/>
  </sheetViews>
  <sheetFormatPr defaultColWidth="9.1796875" defaultRowHeight="14.5" x14ac:dyDescent="0.35"/>
  <cols>
    <col min="1" max="1" width="62" style="77" customWidth="1"/>
    <col min="2" max="16384" width="9.1796875" style="77"/>
  </cols>
  <sheetData>
    <row r="2" spans="1:1" x14ac:dyDescent="0.35">
      <c r="A2" s="85" t="s">
        <v>552</v>
      </c>
    </row>
    <row r="3" spans="1:1" ht="232" x14ac:dyDescent="0.35">
      <c r="A3" s="22" t="s">
        <v>553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ropDownListsSheet">
    <tabColor theme="4" tint="0.59999389629810485"/>
  </sheetPr>
  <dimension ref="A1:I57"/>
  <sheetViews>
    <sheetView workbookViewId="0">
      <selection activeCell="B9" sqref="B9"/>
    </sheetView>
  </sheetViews>
  <sheetFormatPr defaultColWidth="29.54296875" defaultRowHeight="13" x14ac:dyDescent="0.35"/>
  <cols>
    <col min="1" max="1" width="29.54296875" style="35"/>
    <col min="2" max="2" width="12.1796875" style="35" customWidth="1"/>
    <col min="3" max="3" width="16.26953125" style="36" customWidth="1"/>
    <col min="4" max="4" width="12" style="35" customWidth="1"/>
    <col min="5" max="16384" width="29.54296875" style="35"/>
  </cols>
  <sheetData>
    <row r="1" spans="1:9" s="38" customFormat="1" x14ac:dyDescent="0.35">
      <c r="A1" s="38" t="s">
        <v>532</v>
      </c>
      <c r="B1" s="38" t="s">
        <v>523</v>
      </c>
      <c r="C1" s="39" t="s">
        <v>531</v>
      </c>
      <c r="D1" s="38" t="s">
        <v>430</v>
      </c>
      <c r="E1" s="38" t="s">
        <v>431</v>
      </c>
      <c r="F1" s="38" t="s">
        <v>44</v>
      </c>
      <c r="G1" s="38" t="s">
        <v>45</v>
      </c>
      <c r="H1" s="38" t="s">
        <v>83</v>
      </c>
      <c r="I1" s="38" t="s">
        <v>87</v>
      </c>
    </row>
    <row r="2" spans="1:9" ht="52" x14ac:dyDescent="0.35">
      <c r="A2" s="35" t="s">
        <v>20</v>
      </c>
      <c r="B2" s="37" t="s">
        <v>527</v>
      </c>
      <c r="C2" s="36" t="s">
        <v>12</v>
      </c>
      <c r="D2" s="35" t="s">
        <v>374</v>
      </c>
      <c r="E2" s="35" t="s">
        <v>432</v>
      </c>
      <c r="F2" s="35" t="s">
        <v>46</v>
      </c>
      <c r="G2" s="35" t="s">
        <v>47</v>
      </c>
      <c r="H2" s="35" t="s">
        <v>86</v>
      </c>
      <c r="I2" s="35" t="s">
        <v>88</v>
      </c>
    </row>
    <row r="3" spans="1:9" ht="26" x14ac:dyDescent="0.35">
      <c r="A3" s="35" t="s">
        <v>21</v>
      </c>
      <c r="B3" s="37" t="s">
        <v>112</v>
      </c>
      <c r="C3" s="36" t="s">
        <v>13</v>
      </c>
      <c r="D3" s="35" t="s">
        <v>375</v>
      </c>
      <c r="E3" s="35" t="s">
        <v>433</v>
      </c>
      <c r="F3" s="35" t="s">
        <v>48</v>
      </c>
      <c r="G3" s="35" t="s">
        <v>49</v>
      </c>
      <c r="H3" s="35" t="s">
        <v>84</v>
      </c>
      <c r="I3" s="35" t="s">
        <v>89</v>
      </c>
    </row>
    <row r="4" spans="1:9" ht="26" x14ac:dyDescent="0.35">
      <c r="A4" s="35" t="s">
        <v>22</v>
      </c>
      <c r="B4" s="35" t="s">
        <v>108</v>
      </c>
      <c r="C4" s="36" t="s">
        <v>14</v>
      </c>
      <c r="D4" s="35" t="s">
        <v>376</v>
      </c>
      <c r="E4" s="35" t="s">
        <v>434</v>
      </c>
      <c r="F4" s="35" t="s">
        <v>50</v>
      </c>
      <c r="G4" s="35" t="s">
        <v>51</v>
      </c>
      <c r="H4" s="35" t="s">
        <v>93</v>
      </c>
      <c r="I4" s="35" t="s">
        <v>90</v>
      </c>
    </row>
    <row r="5" spans="1:9" ht="26" x14ac:dyDescent="0.35">
      <c r="A5" s="35" t="s">
        <v>23</v>
      </c>
      <c r="B5" s="35" t="s">
        <v>526</v>
      </c>
      <c r="C5" s="36" t="s">
        <v>15</v>
      </c>
      <c r="D5" s="35" t="s">
        <v>377</v>
      </c>
      <c r="E5" s="35" t="s">
        <v>435</v>
      </c>
      <c r="F5" s="35" t="s">
        <v>52</v>
      </c>
      <c r="G5" s="35" t="s">
        <v>53</v>
      </c>
      <c r="H5" s="35" t="s">
        <v>85</v>
      </c>
      <c r="I5" s="35" t="s">
        <v>91</v>
      </c>
    </row>
    <row r="6" spans="1:9" ht="26" x14ac:dyDescent="0.35">
      <c r="A6" s="35" t="s">
        <v>24</v>
      </c>
      <c r="C6" s="36" t="s">
        <v>16</v>
      </c>
      <c r="D6" s="35" t="s">
        <v>378</v>
      </c>
      <c r="E6" s="35" t="s">
        <v>436</v>
      </c>
      <c r="F6" s="35" t="s">
        <v>54</v>
      </c>
      <c r="G6" s="35" t="s">
        <v>55</v>
      </c>
      <c r="H6" s="35" t="s">
        <v>105</v>
      </c>
      <c r="I6" s="35" t="s">
        <v>92</v>
      </c>
    </row>
    <row r="7" spans="1:9" x14ac:dyDescent="0.35">
      <c r="A7" s="35" t="s">
        <v>25</v>
      </c>
      <c r="C7" s="36" t="s">
        <v>17</v>
      </c>
      <c r="D7" s="35" t="s">
        <v>379</v>
      </c>
      <c r="E7" s="35" t="s">
        <v>437</v>
      </c>
      <c r="F7" s="35" t="s">
        <v>56</v>
      </c>
      <c r="G7" s="35" t="s">
        <v>57</v>
      </c>
      <c r="I7" s="35" t="s">
        <v>93</v>
      </c>
    </row>
    <row r="8" spans="1:9" x14ac:dyDescent="0.35">
      <c r="C8" s="36" t="s">
        <v>18</v>
      </c>
      <c r="D8" s="35" t="s">
        <v>380</v>
      </c>
      <c r="E8" s="35" t="s">
        <v>438</v>
      </c>
      <c r="F8" s="35" t="s">
        <v>58</v>
      </c>
      <c r="I8" s="35" t="s">
        <v>94</v>
      </c>
    </row>
    <row r="9" spans="1:9" x14ac:dyDescent="0.35">
      <c r="C9" s="36" t="s">
        <v>19</v>
      </c>
      <c r="D9" s="35" t="s">
        <v>381</v>
      </c>
      <c r="E9" s="35" t="s">
        <v>439</v>
      </c>
      <c r="F9" s="35" t="s">
        <v>59</v>
      </c>
      <c r="I9" s="35" t="s">
        <v>95</v>
      </c>
    </row>
    <row r="10" spans="1:9" x14ac:dyDescent="0.35">
      <c r="D10" s="35" t="s">
        <v>382</v>
      </c>
      <c r="E10" s="35" t="s">
        <v>102</v>
      </c>
      <c r="F10" s="35" t="s">
        <v>60</v>
      </c>
      <c r="I10" s="35" t="s">
        <v>96</v>
      </c>
    </row>
    <row r="11" spans="1:9" x14ac:dyDescent="0.35">
      <c r="D11" s="35" t="s">
        <v>383</v>
      </c>
      <c r="E11" s="35" t="s">
        <v>440</v>
      </c>
      <c r="F11" s="35" t="s">
        <v>61</v>
      </c>
      <c r="I11" s="35" t="s">
        <v>97</v>
      </c>
    </row>
    <row r="12" spans="1:9" ht="26" x14ac:dyDescent="0.35">
      <c r="D12" s="35" t="s">
        <v>384</v>
      </c>
      <c r="E12" s="35" t="s">
        <v>441</v>
      </c>
      <c r="F12" s="35" t="s">
        <v>62</v>
      </c>
      <c r="I12" s="35" t="s">
        <v>98</v>
      </c>
    </row>
    <row r="13" spans="1:9" x14ac:dyDescent="0.35">
      <c r="D13" s="35" t="s">
        <v>385</v>
      </c>
      <c r="E13" s="35" t="s">
        <v>442</v>
      </c>
      <c r="F13" s="35" t="s">
        <v>63</v>
      </c>
      <c r="I13" s="35" t="s">
        <v>99</v>
      </c>
    </row>
    <row r="14" spans="1:9" x14ac:dyDescent="0.35">
      <c r="D14" s="35" t="s">
        <v>386</v>
      </c>
      <c r="E14" s="35" t="s">
        <v>443</v>
      </c>
      <c r="F14" s="35" t="s">
        <v>64</v>
      </c>
      <c r="I14" s="35" t="s">
        <v>100</v>
      </c>
    </row>
    <row r="15" spans="1:9" x14ac:dyDescent="0.35">
      <c r="D15" s="35" t="s">
        <v>387</v>
      </c>
      <c r="E15" s="35" t="s">
        <v>444</v>
      </c>
      <c r="F15" s="35" t="s">
        <v>65</v>
      </c>
      <c r="I15" s="35" t="s">
        <v>101</v>
      </c>
    </row>
    <row r="16" spans="1:9" x14ac:dyDescent="0.35">
      <c r="D16" s="35" t="s">
        <v>388</v>
      </c>
      <c r="E16" s="35" t="s">
        <v>445</v>
      </c>
      <c r="F16" s="35" t="s">
        <v>66</v>
      </c>
      <c r="I16" s="35" t="s">
        <v>102</v>
      </c>
    </row>
    <row r="17" spans="4:9" ht="26" x14ac:dyDescent="0.35">
      <c r="D17" s="35" t="s">
        <v>389</v>
      </c>
      <c r="E17" s="35" t="s">
        <v>446</v>
      </c>
      <c r="F17" s="35" t="s">
        <v>67</v>
      </c>
      <c r="I17" s="35" t="s">
        <v>103</v>
      </c>
    </row>
    <row r="18" spans="4:9" x14ac:dyDescent="0.35">
      <c r="D18" s="35" t="s">
        <v>390</v>
      </c>
      <c r="E18" s="35" t="s">
        <v>447</v>
      </c>
      <c r="F18" s="35" t="s">
        <v>68</v>
      </c>
      <c r="I18" s="35" t="s">
        <v>104</v>
      </c>
    </row>
    <row r="19" spans="4:9" x14ac:dyDescent="0.35">
      <c r="D19" s="35" t="s">
        <v>391</v>
      </c>
      <c r="F19" s="35" t="s">
        <v>69</v>
      </c>
      <c r="I19" s="35" t="s">
        <v>20</v>
      </c>
    </row>
    <row r="20" spans="4:9" x14ac:dyDescent="0.35">
      <c r="D20" s="35" t="s">
        <v>392</v>
      </c>
      <c r="F20" s="35" t="s">
        <v>70</v>
      </c>
    </row>
    <row r="21" spans="4:9" x14ac:dyDescent="0.35">
      <c r="D21" s="35" t="s">
        <v>393</v>
      </c>
    </row>
    <row r="22" spans="4:9" x14ac:dyDescent="0.35">
      <c r="D22" s="35" t="s">
        <v>394</v>
      </c>
    </row>
    <row r="23" spans="4:9" x14ac:dyDescent="0.35">
      <c r="D23" s="35" t="s">
        <v>395</v>
      </c>
    </row>
    <row r="24" spans="4:9" x14ac:dyDescent="0.35">
      <c r="D24" s="35" t="s">
        <v>396</v>
      </c>
    </row>
    <row r="25" spans="4:9" x14ac:dyDescent="0.35">
      <c r="D25" s="35" t="s">
        <v>397</v>
      </c>
    </row>
    <row r="26" spans="4:9" x14ac:dyDescent="0.35">
      <c r="D26" s="35" t="s">
        <v>398</v>
      </c>
    </row>
    <row r="27" spans="4:9" x14ac:dyDescent="0.35">
      <c r="D27" s="35" t="s">
        <v>399</v>
      </c>
    </row>
    <row r="28" spans="4:9" x14ac:dyDescent="0.35">
      <c r="D28" s="35" t="s">
        <v>400</v>
      </c>
    </row>
    <row r="29" spans="4:9" x14ac:dyDescent="0.35">
      <c r="D29" s="35" t="s">
        <v>401</v>
      </c>
    </row>
    <row r="30" spans="4:9" x14ac:dyDescent="0.35">
      <c r="D30" s="35" t="s">
        <v>402</v>
      </c>
    </row>
    <row r="31" spans="4:9" x14ac:dyDescent="0.35">
      <c r="D31" s="35" t="s">
        <v>403</v>
      </c>
    </row>
    <row r="32" spans="4:9" x14ac:dyDescent="0.35">
      <c r="D32" s="35" t="s">
        <v>404</v>
      </c>
    </row>
    <row r="33" spans="4:4" x14ac:dyDescent="0.35">
      <c r="D33" s="35" t="s">
        <v>405</v>
      </c>
    </row>
    <row r="34" spans="4:4" x14ac:dyDescent="0.35">
      <c r="D34" s="35" t="s">
        <v>406</v>
      </c>
    </row>
    <row r="35" spans="4:4" x14ac:dyDescent="0.35">
      <c r="D35" s="35" t="s">
        <v>407</v>
      </c>
    </row>
    <row r="36" spans="4:4" x14ac:dyDescent="0.35">
      <c r="D36" s="35" t="s">
        <v>408</v>
      </c>
    </row>
    <row r="37" spans="4:4" x14ac:dyDescent="0.35">
      <c r="D37" s="35" t="s">
        <v>409</v>
      </c>
    </row>
    <row r="38" spans="4:4" x14ac:dyDescent="0.35">
      <c r="D38" s="35" t="s">
        <v>410</v>
      </c>
    </row>
    <row r="39" spans="4:4" x14ac:dyDescent="0.35">
      <c r="D39" s="35" t="s">
        <v>411</v>
      </c>
    </row>
    <row r="40" spans="4:4" x14ac:dyDescent="0.35">
      <c r="D40" s="35" t="s">
        <v>412</v>
      </c>
    </row>
    <row r="41" spans="4:4" x14ac:dyDescent="0.35">
      <c r="D41" s="35" t="s">
        <v>413</v>
      </c>
    </row>
    <row r="42" spans="4:4" x14ac:dyDescent="0.35">
      <c r="D42" s="35" t="s">
        <v>414</v>
      </c>
    </row>
    <row r="43" spans="4:4" x14ac:dyDescent="0.35">
      <c r="D43" s="35" t="s">
        <v>415</v>
      </c>
    </row>
    <row r="44" spans="4:4" x14ac:dyDescent="0.35">
      <c r="D44" s="35" t="s">
        <v>416</v>
      </c>
    </row>
    <row r="45" spans="4:4" x14ac:dyDescent="0.35">
      <c r="D45" s="35" t="s">
        <v>417</v>
      </c>
    </row>
    <row r="46" spans="4:4" x14ac:dyDescent="0.35">
      <c r="D46" s="35" t="s">
        <v>418</v>
      </c>
    </row>
    <row r="47" spans="4:4" x14ac:dyDescent="0.35">
      <c r="D47" s="35" t="s">
        <v>419</v>
      </c>
    </row>
    <row r="48" spans="4:4" x14ac:dyDescent="0.35">
      <c r="D48" s="35" t="s">
        <v>420</v>
      </c>
    </row>
    <row r="49" spans="4:4" x14ac:dyDescent="0.35">
      <c r="D49" s="35" t="s">
        <v>421</v>
      </c>
    </row>
    <row r="50" spans="4:4" x14ac:dyDescent="0.35">
      <c r="D50" s="35" t="s">
        <v>422</v>
      </c>
    </row>
    <row r="51" spans="4:4" x14ac:dyDescent="0.35">
      <c r="D51" s="35" t="s">
        <v>423</v>
      </c>
    </row>
    <row r="52" spans="4:4" x14ac:dyDescent="0.35">
      <c r="D52" s="35" t="s">
        <v>424</v>
      </c>
    </row>
    <row r="53" spans="4:4" x14ac:dyDescent="0.35">
      <c r="D53" s="35" t="s">
        <v>425</v>
      </c>
    </row>
    <row r="54" spans="4:4" x14ac:dyDescent="0.35">
      <c r="D54" s="35" t="s">
        <v>426</v>
      </c>
    </row>
    <row r="55" spans="4:4" x14ac:dyDescent="0.35">
      <c r="D55" s="35" t="s">
        <v>427</v>
      </c>
    </row>
    <row r="56" spans="4:4" x14ac:dyDescent="0.35">
      <c r="D56" s="35" t="s">
        <v>428</v>
      </c>
    </row>
    <row r="57" spans="4:4" x14ac:dyDescent="0.35">
      <c r="D57" s="35" t="s">
        <v>429</v>
      </c>
    </row>
  </sheetData>
  <sortState ref="H2:H6">
    <sortCondition ref="H2"/>
  </sortState>
  <customSheetViews>
    <customSheetView guid="{0FDF722F-6BE5-40CC-8643-96FA7475187B}">
      <selection activeCell="S30" sqref="S30"/>
      <pageMargins left="0.7" right="0.7" top="0.75" bottom="0.75" header="0.3" footer="0.3"/>
    </customSheetView>
  </customSheetView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hase xmlns="0e6c6d51-862c-41c1-bbbe-e37ae0c53545">Initiation</Phase>
    <Artifact_x0020_Function xmlns="0e6c6d51-862c-41c1-bbbe-e37ae0c53545">Requirements Management</Artifact_x0020_Function>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4FE5E80C8E1514F8CEF42708A5B3092" ma:contentTypeVersion="3" ma:contentTypeDescription="Create a new document." ma:contentTypeScope="" ma:versionID="fc5ae91964991c7f81ec00ea1dc5f811">
  <xsd:schema xmlns:xsd="http://www.w3.org/2001/XMLSchema" xmlns:xs="http://www.w3.org/2001/XMLSchema" xmlns:p="http://schemas.microsoft.com/office/2006/metadata/properties" xmlns:ns2="0e6c6d51-862c-41c1-bbbe-e37ae0c53545" targetNamespace="http://schemas.microsoft.com/office/2006/metadata/properties" ma:root="true" ma:fieldsID="2c473c0414bc28fcb400889d0bae58b5" ns2:_="">
    <xsd:import namespace="0e6c6d51-862c-41c1-bbbe-e37ae0c53545"/>
    <xsd:element name="properties">
      <xsd:complexType>
        <xsd:sequence>
          <xsd:element name="documentManagement">
            <xsd:complexType>
              <xsd:all>
                <xsd:element ref="ns2:Artifact_x0020_Function" minOccurs="0"/>
                <xsd:element ref="ns2:Phas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6c6d51-862c-41c1-bbbe-e37ae0c53545" elementFormDefault="qualified">
    <xsd:import namespace="http://schemas.microsoft.com/office/2006/documentManagement/types"/>
    <xsd:import namespace="http://schemas.microsoft.com/office/infopath/2007/PartnerControls"/>
    <xsd:element name="Artifact_x0020_Function" ma:index="8" nillable="true" ma:displayName="Artifact Functions" ma:format="Dropdown" ma:internalName="Artifact_x0020_Function">
      <xsd:simpleType>
        <xsd:restriction base="dms:Choice">
          <xsd:enumeration value="Project Management"/>
          <xsd:enumeration value="Requirements Management"/>
          <xsd:enumeration value="Technical Delivery"/>
          <xsd:enumeration value="Test Management"/>
          <xsd:enumeration value="Governance"/>
        </xsd:restriction>
      </xsd:simpleType>
    </xsd:element>
    <xsd:element name="Phase" ma:index="9" ma:displayName="Phases" ma:default="Initiation" ma:format="Dropdown" ma:internalName="Phase">
      <xsd:simpleType>
        <xsd:restriction base="dms:Choice">
          <xsd:enumeration value="Initiation"/>
          <xsd:enumeration value="Planning"/>
          <xsd:enumeration value="Execution"/>
          <xsd:enumeration value="Monitor &amp; Control"/>
          <xsd:enumeration value="Close"/>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8102448-D6E9-42B7-9CA1-EA28AF1273D1}">
  <ds:schemaRefs>
    <ds:schemaRef ds:uri="http://purl.org/dc/dcmitype/"/>
    <ds:schemaRef ds:uri="http://schemas.microsoft.com/office/infopath/2007/PartnerControls"/>
    <ds:schemaRef ds:uri="http://purl.org/dc/terms/"/>
    <ds:schemaRef ds:uri="http://schemas.microsoft.com/office/2006/documentManagement/types"/>
    <ds:schemaRef ds:uri="http://purl.org/dc/elements/1.1/"/>
    <ds:schemaRef ds:uri="http://schemas.openxmlformats.org/package/2006/metadata/core-properties"/>
    <ds:schemaRef ds:uri="0e6c6d51-862c-41c1-bbbe-e37ae0c53545"/>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860D8F57-E535-4E49-A3DB-AB79D04F651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e6c6d51-862c-41c1-bbbe-e37ae0c5354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BA7FBF2-6672-46E8-8ABD-B0456951FAD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About</vt:lpstr>
      <vt:lpstr>Title Page</vt:lpstr>
      <vt:lpstr>GADCR</vt:lpstr>
      <vt:lpstr>Flows</vt:lpstr>
      <vt:lpstr>EPICS</vt:lpstr>
      <vt:lpstr>Action Items</vt:lpstr>
      <vt:lpstr>Change Log</vt:lpstr>
      <vt:lpstr>IS_Instructions</vt:lpstr>
      <vt:lpstr>IS_Requirements Mapping</vt:lpstr>
      <vt:lpstr>IS_Impacted_Systems_List</vt:lpstr>
      <vt:lpstr>BRD Convert</vt:lpstr>
      <vt:lpstr>OBA</vt:lpstr>
      <vt:lpstr>Reporting Questions</vt:lpstr>
      <vt:lpstr>Drop Down Lists</vt:lpstr>
      <vt:lpstr>Critical_Guidelines_to_Follow_Title</vt:lpstr>
      <vt:lpstr>JIRA_Formatting_Help</vt:lpstr>
      <vt:lpstr>Known_Issues_Title</vt:lpstr>
      <vt:lpstr>Release_Notes_Title</vt:lpstr>
      <vt:lpstr>'Title Page'!terms</vt:lpstr>
    </vt:vector>
  </TitlesOfParts>
  <Company>The WellPoint Companies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This is the business requirements document that replaces the BTRD 06212019</dc:title>
  <dc:creator>Jeremy.Roever@Anthem.com</dc:creator>
  <cp:lastModifiedBy>Cerveny, Dale C.</cp:lastModifiedBy>
  <cp:lastPrinted>2013-03-20T21:34:44Z</cp:lastPrinted>
  <dcterms:created xsi:type="dcterms:W3CDTF">2012-10-18T18:21:51Z</dcterms:created>
  <dcterms:modified xsi:type="dcterms:W3CDTF">2019-10-14T20:36:40Z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0x01010074FE5E80C8E1514F8CEF42708A5B3092</vt:lpwstr>
  </property>
</Properties>
</file>